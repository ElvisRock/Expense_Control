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imelineCaches/timelineCache2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3.xml" ContentType="application/vnd.openxmlformats-officedocument.drawing+xml"/>
  <Override PartName="/xl/timelines/timeline2.xml" ContentType="application/vnd.ms-excel.timelin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drawings/drawing4.xml" ContentType="application/vnd.openxmlformats-officedocument.drawing+xml"/>
  <Override PartName="/xl/timelines/timeline3.xml" ContentType="application/vnd.ms-excel.timelin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C:\Users\emonteiro\Desktop\Projeto01-Controle-Gastos\"/>
    </mc:Choice>
  </mc:AlternateContent>
  <xr:revisionPtr revIDLastSave="0" documentId="13_ncr:1_{97DCA1DC-F601-45C0-931C-A8C1ECD6B6D1}" xr6:coauthVersionLast="47" xr6:coauthVersionMax="47" xr10:uidLastSave="{00000000-0000-0000-0000-000000000000}"/>
  <bookViews>
    <workbookView xWindow="-120" yWindow="-120" windowWidth="20730" windowHeight="11160" tabRatio="814" xr2:uid="{00000000-000D-0000-FFFF-FFFF00000000}"/>
  </bookViews>
  <sheets>
    <sheet name="Consolidado_Dash" sheetId="13" r:id="rId1"/>
    <sheet name="Semanal" sheetId="5" r:id="rId2"/>
    <sheet name="Anual" sheetId="8" r:id="rId3"/>
    <sheet name="Base_Cliente_Full" sheetId="1" r:id="rId4"/>
    <sheet name="Consolidado-Rascunho" sheetId="9" state="hidden" r:id="rId5"/>
    <sheet name="Consolidado_do_Dash" sheetId="14" state="hidden" r:id="rId6"/>
    <sheet name="Apoio" sheetId="2" state="hidden" r:id="rId7"/>
    <sheet name="Planilha2" sheetId="3" state="hidden" r:id="rId8"/>
  </sheets>
  <definedNames>
    <definedName name="_xlnm._FilterDatabase" localSheetId="3" hidden="1">Base_Cliente_Full!$A$1:$J$1</definedName>
    <definedName name="_xlnm._FilterDatabase" localSheetId="1" hidden="1">Semanal!$B$3:$R$3</definedName>
    <definedName name="NativeTimeline_Data">#N/A</definedName>
    <definedName name="NativeTimeline_Data1">#N/A</definedName>
  </definedNames>
  <calcPr calcId="191029"/>
  <pivotCaches>
    <pivotCache cacheId="0" r:id="rId9"/>
    <pivotCache cacheId="1" r:id="rId10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1"/>
        <x15:timelineCacheRef r:id="rId12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33" i="8" l="1"/>
  <c r="H133" i="8"/>
  <c r="M132" i="8"/>
  <c r="H132" i="8"/>
  <c r="M131" i="8"/>
  <c r="H131" i="8"/>
  <c r="M130" i="8"/>
  <c r="H130" i="8"/>
  <c r="M129" i="8"/>
  <c r="H129" i="8"/>
  <c r="M128" i="8"/>
  <c r="H128" i="8"/>
  <c r="M127" i="8"/>
  <c r="H127" i="8"/>
  <c r="M126" i="8"/>
  <c r="H126" i="8"/>
  <c r="M125" i="8"/>
  <c r="H125" i="8"/>
  <c r="M124" i="8"/>
  <c r="H124" i="8"/>
  <c r="M123" i="8"/>
  <c r="H123" i="8"/>
  <c r="M122" i="8"/>
  <c r="H122" i="8"/>
  <c r="M121" i="8"/>
  <c r="H121" i="8"/>
  <c r="M120" i="8"/>
  <c r="H120" i="8"/>
  <c r="M119" i="8"/>
  <c r="H119" i="8"/>
  <c r="M118" i="8"/>
  <c r="H118" i="8"/>
  <c r="M117" i="8"/>
  <c r="H117" i="8"/>
  <c r="M116" i="8"/>
  <c r="H116" i="8"/>
  <c r="M115" i="8"/>
  <c r="H115" i="8"/>
  <c r="M114" i="8"/>
  <c r="H114" i="8"/>
  <c r="M113" i="8"/>
  <c r="H113" i="8"/>
  <c r="M112" i="8"/>
  <c r="H112" i="8"/>
  <c r="M111" i="8"/>
  <c r="H111" i="8"/>
  <c r="M110" i="8"/>
  <c r="H110" i="8"/>
  <c r="M109" i="8"/>
  <c r="H109" i="8"/>
  <c r="M108" i="8"/>
  <c r="H108" i="8"/>
  <c r="M107" i="8"/>
  <c r="H107" i="8"/>
  <c r="M106" i="8"/>
  <c r="H106" i="8"/>
  <c r="M105" i="8"/>
  <c r="H105" i="8"/>
  <c r="M104" i="8"/>
  <c r="H104" i="8"/>
  <c r="M103" i="8"/>
  <c r="H103" i="8"/>
  <c r="M102" i="8"/>
  <c r="H102" i="8"/>
  <c r="M101" i="8"/>
  <c r="H101" i="8"/>
  <c r="M100" i="8"/>
  <c r="H100" i="8"/>
  <c r="M99" i="8"/>
  <c r="H99" i="8"/>
  <c r="M98" i="8"/>
  <c r="H98" i="8"/>
  <c r="M97" i="8"/>
  <c r="H97" i="8"/>
  <c r="M96" i="8"/>
  <c r="H96" i="8"/>
  <c r="M95" i="8"/>
  <c r="H95" i="8"/>
  <c r="M94" i="8"/>
  <c r="H94" i="8"/>
  <c r="M93" i="8"/>
  <c r="H93" i="8"/>
  <c r="M92" i="8"/>
  <c r="H92" i="8"/>
  <c r="M91" i="8"/>
  <c r="H91" i="8"/>
  <c r="M90" i="8"/>
  <c r="H90" i="8"/>
  <c r="M89" i="8"/>
  <c r="H89" i="8"/>
  <c r="M88" i="8"/>
  <c r="H88" i="8"/>
  <c r="M87" i="8"/>
  <c r="H87" i="8"/>
  <c r="M86" i="8"/>
  <c r="H86" i="8"/>
  <c r="M85" i="8"/>
  <c r="H85" i="8"/>
  <c r="M84" i="8"/>
  <c r="H84" i="8"/>
  <c r="M83" i="8"/>
  <c r="H83" i="8"/>
  <c r="M82" i="8"/>
  <c r="H82" i="8"/>
  <c r="M81" i="8"/>
  <c r="H81" i="8"/>
  <c r="M80" i="8"/>
  <c r="H80" i="8"/>
  <c r="M79" i="8"/>
  <c r="H79" i="8"/>
  <c r="M78" i="8"/>
  <c r="H78" i="8"/>
  <c r="M77" i="8"/>
  <c r="H77" i="8"/>
  <c r="M76" i="8"/>
  <c r="H76" i="8"/>
  <c r="M75" i="8"/>
  <c r="H75" i="8"/>
  <c r="M74" i="8"/>
  <c r="H74" i="8"/>
  <c r="M73" i="8"/>
  <c r="H73" i="8"/>
  <c r="M72" i="8"/>
  <c r="H72" i="8"/>
  <c r="M71" i="8"/>
  <c r="H71" i="8"/>
  <c r="M70" i="8"/>
  <c r="H70" i="8"/>
  <c r="M69" i="8"/>
  <c r="H69" i="8"/>
  <c r="M68" i="8"/>
  <c r="H68" i="8"/>
  <c r="M67" i="8"/>
  <c r="H67" i="8"/>
  <c r="M66" i="8"/>
  <c r="H66" i="8"/>
  <c r="M65" i="8"/>
  <c r="H65" i="8"/>
  <c r="M64" i="8"/>
  <c r="H64" i="8"/>
  <c r="M63" i="8"/>
  <c r="H63" i="8"/>
  <c r="M62" i="8"/>
  <c r="H62" i="8"/>
  <c r="M61" i="8"/>
  <c r="H61" i="8"/>
  <c r="M60" i="8"/>
  <c r="H60" i="8"/>
  <c r="M59" i="8"/>
  <c r="H59" i="8"/>
  <c r="M58" i="8"/>
  <c r="H58" i="8"/>
  <c r="M57" i="8"/>
  <c r="H57" i="8"/>
  <c r="M56" i="8"/>
  <c r="H56" i="8"/>
  <c r="M55" i="8"/>
  <c r="H55" i="8"/>
  <c r="M54" i="8"/>
  <c r="H54" i="8"/>
  <c r="M53" i="8"/>
  <c r="H53" i="8"/>
  <c r="M52" i="8"/>
  <c r="H52" i="8"/>
  <c r="M51" i="8"/>
  <c r="H51" i="8"/>
  <c r="M50" i="8"/>
  <c r="H50" i="8"/>
  <c r="M49" i="8"/>
  <c r="H49" i="8"/>
  <c r="M48" i="8"/>
  <c r="H48" i="8"/>
  <c r="M47" i="8"/>
  <c r="H47" i="8"/>
  <c r="M46" i="8"/>
  <c r="H46" i="8"/>
  <c r="M45" i="8"/>
  <c r="H45" i="8"/>
  <c r="M44" i="8"/>
  <c r="H44" i="8"/>
  <c r="M43" i="8"/>
  <c r="H43" i="8"/>
  <c r="M42" i="8"/>
  <c r="H42" i="8"/>
  <c r="M41" i="8"/>
  <c r="H41" i="8"/>
  <c r="M40" i="8"/>
  <c r="H40" i="8"/>
  <c r="M39" i="8"/>
  <c r="H39" i="8"/>
  <c r="M38" i="8"/>
  <c r="H38" i="8"/>
  <c r="M37" i="8"/>
  <c r="H37" i="8"/>
  <c r="M36" i="8"/>
  <c r="H36" i="8"/>
  <c r="M35" i="8"/>
  <c r="H35" i="8"/>
  <c r="M34" i="8"/>
  <c r="H34" i="8"/>
  <c r="M33" i="8"/>
  <c r="H33" i="8"/>
  <c r="M32" i="8"/>
  <c r="H32" i="8"/>
  <c r="M31" i="8"/>
  <c r="H31" i="8"/>
  <c r="M30" i="8"/>
  <c r="H30" i="8"/>
  <c r="M29" i="8"/>
  <c r="H29" i="8"/>
  <c r="M28" i="8"/>
  <c r="H28" i="8"/>
  <c r="M27" i="8"/>
  <c r="H27" i="8"/>
  <c r="M26" i="8"/>
  <c r="H26" i="8"/>
  <c r="M25" i="8"/>
  <c r="H25" i="8"/>
  <c r="M24" i="8"/>
  <c r="H24" i="8"/>
  <c r="M23" i="8"/>
  <c r="H23" i="8"/>
  <c r="M22" i="8"/>
  <c r="H22" i="8"/>
  <c r="M21" i="8"/>
  <c r="H21" i="8"/>
  <c r="M20" i="8"/>
  <c r="H20" i="8"/>
  <c r="M19" i="8"/>
  <c r="H19" i="8"/>
  <c r="M18" i="8"/>
  <c r="H18" i="8"/>
  <c r="M17" i="8"/>
  <c r="H17" i="8"/>
  <c r="M16" i="8"/>
  <c r="H16" i="8"/>
  <c r="M15" i="8"/>
  <c r="H15" i="8"/>
  <c r="M14" i="8"/>
  <c r="H14" i="8"/>
  <c r="M13" i="8"/>
  <c r="H13" i="8"/>
  <c r="M12" i="8"/>
  <c r="H12" i="8"/>
  <c r="M11" i="8"/>
  <c r="H11" i="8"/>
  <c r="M10" i="8"/>
  <c r="H10" i="8"/>
  <c r="M9" i="8"/>
  <c r="H9" i="8"/>
  <c r="M8" i="8"/>
  <c r="H8" i="8"/>
  <c r="M7" i="8"/>
  <c r="H7" i="8"/>
  <c r="M6" i="8"/>
  <c r="H6" i="8"/>
  <c r="M5" i="8"/>
  <c r="H5" i="8"/>
  <c r="M4" i="8"/>
  <c r="H4" i="8"/>
  <c r="A6" i="5"/>
  <c r="A4" i="5"/>
  <c r="M13" i="5"/>
  <c r="M14" i="5"/>
  <c r="M15" i="5"/>
  <c r="M16" i="5"/>
  <c r="H13" i="5"/>
  <c r="H14" i="5"/>
  <c r="H15" i="5"/>
  <c r="H16" i="5"/>
  <c r="M5" i="5"/>
  <c r="M6" i="5"/>
  <c r="M7" i="5"/>
  <c r="M8" i="5"/>
  <c r="M9" i="5"/>
  <c r="M10" i="5"/>
  <c r="M11" i="5"/>
  <c r="M12" i="5"/>
  <c r="M4" i="5"/>
  <c r="H12" i="5"/>
  <c r="H11" i="5"/>
  <c r="H10" i="5"/>
  <c r="H9" i="5"/>
  <c r="H8" i="5"/>
  <c r="H7" i="5"/>
  <c r="H6" i="5"/>
  <c r="H5" i="5"/>
  <c r="H4" i="5"/>
  <c r="A10" i="5" l="1"/>
  <c r="A8" i="5"/>
  <c r="A12" i="5" l="1"/>
</calcChain>
</file>

<file path=xl/sharedStrings.xml><?xml version="1.0" encoding="utf-8"?>
<sst xmlns="http://schemas.openxmlformats.org/spreadsheetml/2006/main" count="1080" uniqueCount="109">
  <si>
    <t>Nome Cliente</t>
  </si>
  <si>
    <t>Contato Telefone</t>
  </si>
  <si>
    <t>Contato E-mail</t>
  </si>
  <si>
    <t>Endereço</t>
  </si>
  <si>
    <t>email@gmail.com</t>
  </si>
  <si>
    <t>endereço joão pereira, 1234</t>
  </si>
  <si>
    <t>Estado</t>
  </si>
  <si>
    <t>VIC</t>
  </si>
  <si>
    <t>Cash</t>
  </si>
  <si>
    <t>Senha para Acessar casa</t>
  </si>
  <si>
    <t>Lavar banheiro, Tirar Pó, Lavar roupa</t>
  </si>
  <si>
    <t>Organizar salas, quartos</t>
  </si>
  <si>
    <t>Descrição Cliente (O que é feito em cada cliente)</t>
  </si>
  <si>
    <t>Atenção ao detalhes no rodapé</t>
  </si>
  <si>
    <t>Detalhe Importante (Detalhes especificos de cada cliente</t>
  </si>
  <si>
    <t>Tempo de Serviço (Hora)</t>
  </si>
  <si>
    <t>Hora Fixa</t>
  </si>
  <si>
    <t>Tipo Casa</t>
  </si>
  <si>
    <t>Casa</t>
  </si>
  <si>
    <t>Airbnb</t>
  </si>
  <si>
    <t>Apartamento</t>
  </si>
  <si>
    <t>Tipo Pagamento</t>
  </si>
  <si>
    <t>Custo Combustível</t>
  </si>
  <si>
    <t>Custo Pedágio</t>
  </si>
  <si>
    <t>Custo Produto</t>
  </si>
  <si>
    <t>Custo Extras</t>
  </si>
  <si>
    <t xml:space="preserve">João da silva </t>
  </si>
  <si>
    <t xml:space="preserve">Paula Pereira </t>
  </si>
  <si>
    <t>email2@gmail.com</t>
  </si>
  <si>
    <t>endereço joão pereira, 12346741</t>
  </si>
  <si>
    <t>Manter os móveis no mesmo local</t>
  </si>
  <si>
    <t>Daniel Rogerido</t>
  </si>
  <si>
    <t>email3@gmail.com</t>
  </si>
  <si>
    <t>endereço joão Silva, 777884</t>
  </si>
  <si>
    <t>40 Minutos para cada andar</t>
  </si>
  <si>
    <t xml:space="preserve">Perguntas a serem respondidas </t>
  </si>
  <si>
    <t>Pagamento</t>
  </si>
  <si>
    <t xml:space="preserve">Pendente </t>
  </si>
  <si>
    <t xml:space="preserve">Pago </t>
  </si>
  <si>
    <t xml:space="preserve">elvis </t>
  </si>
  <si>
    <t>cash</t>
  </si>
  <si>
    <t>invoice</t>
  </si>
  <si>
    <t xml:space="preserve">Qtde Horas </t>
  </si>
  <si>
    <t>Escritorio</t>
  </si>
  <si>
    <t>Valor Hora</t>
  </si>
  <si>
    <t>Data</t>
  </si>
  <si>
    <t>simone</t>
  </si>
  <si>
    <t>daniela</t>
  </si>
  <si>
    <t>Valor hora</t>
  </si>
  <si>
    <t>Cliente</t>
  </si>
  <si>
    <t>Pam</t>
  </si>
  <si>
    <t>Joao</t>
  </si>
  <si>
    <t>Maria</t>
  </si>
  <si>
    <t>Robert</t>
  </si>
  <si>
    <t>Denis</t>
  </si>
  <si>
    <t>Simone</t>
  </si>
  <si>
    <t>Daniela</t>
  </si>
  <si>
    <t>Pam P</t>
  </si>
  <si>
    <t>Joao J</t>
  </si>
  <si>
    <t>Ganho Semanal</t>
  </si>
  <si>
    <t>Semana</t>
  </si>
  <si>
    <t>Conta</t>
  </si>
  <si>
    <t>Tipo Pgto</t>
  </si>
  <si>
    <t>Pgto Funcionario</t>
  </si>
  <si>
    <t>Pgto</t>
  </si>
  <si>
    <t>Funcionario</t>
  </si>
  <si>
    <t>faz parte da formula somase</t>
  </si>
  <si>
    <t>Tot Cliente Pago</t>
  </si>
  <si>
    <t>Custos Tot</t>
  </si>
  <si>
    <t>Tot Cliente Pendente</t>
  </si>
  <si>
    <t>Tot Mao de Obra</t>
  </si>
  <si>
    <t>Tot Custo</t>
  </si>
  <si>
    <t>Rótulos de Linha</t>
  </si>
  <si>
    <t>Total Geral</t>
  </si>
  <si>
    <t>(vazio)</t>
  </si>
  <si>
    <t>Soma de Pgto Funcionario</t>
  </si>
  <si>
    <t>Lara Souza</t>
  </si>
  <si>
    <t>Guilherme Costa</t>
  </si>
  <si>
    <t>Beatriz Lima</t>
  </si>
  <si>
    <t>João Henrique</t>
  </si>
  <si>
    <t>Mariana Ribeiro</t>
  </si>
  <si>
    <t>Lucas Almeida</t>
  </si>
  <si>
    <t>Camila Oliveira</t>
  </si>
  <si>
    <t>Pedro Santana</t>
  </si>
  <si>
    <t>Sofia Martins</t>
  </si>
  <si>
    <t>Daniel Pereira</t>
  </si>
  <si>
    <t>Soma de Ganho_Total</t>
  </si>
  <si>
    <t>Valores</t>
  </si>
  <si>
    <t>Custos Total</t>
  </si>
  <si>
    <t>Custo Funcionario</t>
  </si>
  <si>
    <t>Lucro Total</t>
  </si>
  <si>
    <t>Quais clientes me deram  maior lucro ? === Ok</t>
  </si>
  <si>
    <t xml:space="preserve">Clientes - Custo Total (Custo - Custo de funcionario) </t>
  </si>
  <si>
    <t>Lucro versos Custos == Ok</t>
  </si>
  <si>
    <t xml:space="preserve">Quanto teve de ganho ? Add filtros por mês e por ano </t>
  </si>
  <si>
    <t xml:space="preserve">total cliente pago - totla mao de bora - total custo </t>
  </si>
  <si>
    <t>Quanto tive de custo funcionario == Ok</t>
  </si>
  <si>
    <t>Soma de Pgto</t>
  </si>
  <si>
    <t>mar</t>
  </si>
  <si>
    <t>abr</t>
  </si>
  <si>
    <t>Soma de Custos Tot</t>
  </si>
  <si>
    <t>jun</t>
  </si>
  <si>
    <t>colocar somente os 10 primeiros principais que dão lucro? Ou deixar todos?? Tipo um ranking??</t>
  </si>
  <si>
    <t>finalizar a alegenda</t>
  </si>
  <si>
    <t>mai</t>
  </si>
  <si>
    <t>jul</t>
  </si>
  <si>
    <t>ago</t>
  </si>
  <si>
    <t>set</t>
  </si>
  <si>
    <t>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</si>
</sst>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-&quot;R$&quot;\ * #,##0.00_-;\-&quot;R$&quot;\ * #,##0.00_-;_-&quot;R$&quot;\ * &quot;-&quot;??_-;_-@_-"/>
    <numFmt numFmtId="164" formatCode="_-[$$-409]* #,##0.00_ ;_-[$$-409]* \-#,##0.00\ ;_-[$$-409]* &quot;-&quot;??_ ;_-@_ "/>
    <numFmt numFmtId="165" formatCode="dd/mm/yy\ \-\ ddd"/>
    <numFmt numFmtId="166" formatCode="_-[$$-540A]* #,##0.0_ ;_-[$$-540A]* \-#,##0.0\ ;_-[$$-540A]* &quot;-&quot;?_ ;_-@_ "/>
    <numFmt numFmtId="167" formatCode="[$$-C09]#,##0.0"/>
  </numFmts>
  <fonts count="9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2" tint="-0.749992370372631"/>
      <name val="Calibri"/>
      <family val="2"/>
      <scheme val="minor"/>
    </font>
    <font>
      <u/>
      <sz val="11"/>
      <color theme="2" tint="-0.74999237037263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tted">
        <color theme="4" tint="0.59999389629810485"/>
      </left>
      <right style="dotted">
        <color theme="4" tint="0.59999389629810485"/>
      </right>
      <top style="dotted">
        <color theme="4" tint="0.59999389629810485"/>
      </top>
      <bottom style="dotted">
        <color theme="4" tint="0.59999389629810485"/>
      </bottom>
      <diagonal/>
    </border>
    <border>
      <left style="dotted">
        <color theme="4" tint="0.59999389629810485"/>
      </left>
      <right/>
      <top style="dotted">
        <color theme="4" tint="0.59999389629810485"/>
      </top>
      <bottom style="dotted">
        <color theme="4" tint="0.59999389629810485"/>
      </bottom>
      <diagonal/>
    </border>
    <border>
      <left style="dotted">
        <color rgb="FFFFC000"/>
      </left>
      <right style="dotted">
        <color rgb="FFFFC000"/>
      </right>
      <top style="dotted">
        <color rgb="FFFFC000"/>
      </top>
      <bottom style="dotted">
        <color rgb="FFFFC000"/>
      </bottom>
      <diagonal/>
    </border>
    <border>
      <left style="dotted">
        <color theme="4" tint="0.39997558519241921"/>
      </left>
      <right style="dotted">
        <color theme="4" tint="0.39997558519241921"/>
      </right>
      <top style="dotted">
        <color theme="4" tint="0.39997558519241921"/>
      </top>
      <bottom style="dotted">
        <color theme="4" tint="0.39997558519241921"/>
      </bottom>
      <diagonal/>
    </border>
    <border>
      <left/>
      <right/>
      <top style="dotted">
        <color theme="5" tint="0.59999389629810485"/>
      </top>
      <bottom style="dotted">
        <color theme="5" tint="0.59999389629810485"/>
      </bottom>
      <diagonal/>
    </border>
    <border>
      <left/>
      <right style="dotted">
        <color rgb="FFFFC000"/>
      </right>
      <top style="dotted">
        <color rgb="FFFFC000"/>
      </top>
      <bottom style="dotted">
        <color rgb="FFFFC000"/>
      </bottom>
      <diagonal/>
    </border>
    <border>
      <left style="dotted">
        <color theme="8" tint="0.39997558519241921"/>
      </left>
      <right style="dotted">
        <color theme="8" tint="0.39997558519241921"/>
      </right>
      <top style="dotted">
        <color theme="8" tint="0.39997558519241921"/>
      </top>
      <bottom style="dotted">
        <color theme="8" tint="0.39997558519241921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44" fontId="2" fillId="0" borderId="0" applyFont="0" applyFill="0" applyBorder="0" applyAlignment="0" applyProtection="0"/>
  </cellStyleXfs>
  <cellXfs count="61">
    <xf numFmtId="0" fontId="0" fillId="0" borderId="0" xfId="0"/>
    <xf numFmtId="0" fontId="0" fillId="0" borderId="0" xfId="0" applyAlignment="1">
      <alignment horizontal="center"/>
    </xf>
    <xf numFmtId="0" fontId="0" fillId="6" borderId="0" xfId="0" applyFill="1" applyAlignment="1">
      <alignment horizontal="center"/>
    </xf>
    <xf numFmtId="49" fontId="0" fillId="0" borderId="0" xfId="0" applyNumberFormat="1"/>
    <xf numFmtId="1" fontId="0" fillId="0" borderId="0" xfId="0" applyNumberFormat="1"/>
    <xf numFmtId="0" fontId="0" fillId="0" borderId="0" xfId="0" applyAlignment="1">
      <alignment horizontal="left"/>
    </xf>
    <xf numFmtId="164" fontId="0" fillId="0" borderId="0" xfId="0" applyNumberFormat="1" applyAlignment="1">
      <alignment horizontal="left"/>
    </xf>
    <xf numFmtId="0" fontId="0" fillId="5" borderId="1" xfId="0" applyFill="1" applyBorder="1" applyAlignment="1">
      <alignment horizontal="center"/>
    </xf>
    <xf numFmtId="0" fontId="0" fillId="5" borderId="1" xfId="0" applyFill="1" applyBorder="1"/>
    <xf numFmtId="49" fontId="0" fillId="0" borderId="1" xfId="0" applyNumberFormat="1" applyBorder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left"/>
    </xf>
    <xf numFmtId="0" fontId="3" fillId="4" borderId="1" xfId="0" applyFont="1" applyFill="1" applyBorder="1"/>
    <xf numFmtId="0" fontId="0" fillId="0" borderId="0" xfId="0" applyBorder="1"/>
    <xf numFmtId="164" fontId="3" fillId="0" borderId="3" xfId="0" applyNumberFormat="1" applyFont="1" applyBorder="1" applyAlignment="1">
      <alignment horizontal="left"/>
    </xf>
    <xf numFmtId="0" fontId="0" fillId="3" borderId="4" xfId="0" applyFill="1" applyBorder="1"/>
    <xf numFmtId="164" fontId="0" fillId="0" borderId="4" xfId="2" applyNumberFormat="1" applyFont="1" applyBorder="1"/>
    <xf numFmtId="164" fontId="0" fillId="0" borderId="4" xfId="0" applyNumberFormat="1" applyBorder="1" applyAlignment="1">
      <alignment horizontal="center" vertical="center"/>
    </xf>
    <xf numFmtId="0" fontId="0" fillId="0" borderId="4" xfId="0" applyBorder="1"/>
    <xf numFmtId="0" fontId="3" fillId="2" borderId="2" xfId="0" applyFont="1" applyFill="1" applyBorder="1"/>
    <xf numFmtId="0" fontId="3" fillId="2" borderId="2" xfId="0" applyFont="1" applyFill="1" applyBorder="1" applyAlignment="1">
      <alignment horizontal="center"/>
    </xf>
    <xf numFmtId="0" fontId="3" fillId="4" borderId="2" xfId="0" applyFont="1" applyFill="1" applyBorder="1" applyAlignment="1">
      <alignment horizontal="center"/>
    </xf>
    <xf numFmtId="0" fontId="3" fillId="4" borderId="2" xfId="0" applyFont="1" applyFill="1" applyBorder="1"/>
    <xf numFmtId="0" fontId="5" fillId="0" borderId="2" xfId="0" applyFont="1" applyBorder="1"/>
    <xf numFmtId="1" fontId="5" fillId="0" borderId="2" xfId="0" applyNumberFormat="1" applyFont="1" applyBorder="1"/>
    <xf numFmtId="49" fontId="6" fillId="0" borderId="2" xfId="1" applyNumberFormat="1" applyFont="1" applyBorder="1"/>
    <xf numFmtId="49" fontId="5" fillId="0" borderId="2" xfId="0" applyNumberFormat="1" applyFont="1" applyBorder="1"/>
    <xf numFmtId="49" fontId="5" fillId="0" borderId="2" xfId="0" applyNumberFormat="1" applyFont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8" borderId="5" xfId="0" applyFill="1" applyBorder="1"/>
    <xf numFmtId="164" fontId="0" fillId="0" borderId="5" xfId="0" applyNumberFormat="1" applyBorder="1" applyAlignment="1">
      <alignment horizontal="left" vertical="center"/>
    </xf>
    <xf numFmtId="0" fontId="0" fillId="0" borderId="5" xfId="0" applyBorder="1" applyAlignment="1">
      <alignment horizontal="left"/>
    </xf>
    <xf numFmtId="164" fontId="0" fillId="0" borderId="5" xfId="2" applyNumberFormat="1" applyFont="1" applyBorder="1"/>
    <xf numFmtId="0" fontId="0" fillId="0" borderId="5" xfId="0" applyBorder="1" applyAlignment="1">
      <alignment horizontal="center"/>
    </xf>
    <xf numFmtId="0" fontId="0" fillId="0" borderId="5" xfId="0" applyBorder="1"/>
    <xf numFmtId="0" fontId="0" fillId="7" borderId="2" xfId="0" applyFill="1" applyBorder="1" applyAlignment="1">
      <alignment horizontal="center"/>
    </xf>
    <xf numFmtId="0" fontId="7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8" fillId="0" borderId="0" xfId="0" applyFont="1" applyFill="1" applyAlignment="1">
      <alignment horizontal="left"/>
    </xf>
    <xf numFmtId="0" fontId="3" fillId="7" borderId="3" xfId="0" applyFont="1" applyFill="1" applyBorder="1" applyAlignment="1">
      <alignment horizontal="left"/>
    </xf>
    <xf numFmtId="0" fontId="3" fillId="3" borderId="0" xfId="0" applyFont="1" applyFill="1" applyAlignment="1">
      <alignment horizontal="left"/>
    </xf>
    <xf numFmtId="0" fontId="4" fillId="0" borderId="0" xfId="0" applyFont="1" applyAlignment="1">
      <alignment horizontal="left"/>
    </xf>
    <xf numFmtId="164" fontId="3" fillId="0" borderId="0" xfId="0" applyNumberFormat="1" applyFont="1" applyAlignment="1">
      <alignment horizontal="left"/>
    </xf>
    <xf numFmtId="164" fontId="0" fillId="0" borderId="6" xfId="0" applyNumberFormat="1" applyBorder="1" applyAlignment="1">
      <alignment horizontal="left"/>
    </xf>
    <xf numFmtId="0" fontId="3" fillId="8" borderId="6" xfId="0" applyFont="1" applyFill="1" applyBorder="1" applyAlignment="1">
      <alignment horizontal="left"/>
    </xf>
    <xf numFmtId="0" fontId="0" fillId="3" borderId="7" xfId="0" applyFill="1" applyBorder="1"/>
    <xf numFmtId="164" fontId="0" fillId="0" borderId="7" xfId="2" applyNumberFormat="1" applyFont="1" applyBorder="1"/>
    <xf numFmtId="164" fontId="0" fillId="0" borderId="7" xfId="0" applyNumberFormat="1" applyBorder="1" applyAlignment="1">
      <alignment horizontal="center" vertical="center"/>
    </xf>
    <xf numFmtId="0" fontId="0" fillId="0" borderId="7" xfId="0" applyBorder="1"/>
    <xf numFmtId="0" fontId="0" fillId="7" borderId="8" xfId="0" applyFill="1" applyBorder="1" applyAlignment="1">
      <alignment horizontal="center"/>
    </xf>
    <xf numFmtId="0" fontId="0" fillId="0" borderId="8" xfId="0" applyBorder="1" applyAlignment="1">
      <alignment horizontal="center"/>
    </xf>
    <xf numFmtId="165" fontId="0" fillId="0" borderId="8" xfId="0" applyNumberFormat="1" applyBorder="1" applyAlignment="1">
      <alignment horizontal="left"/>
    </xf>
    <xf numFmtId="44" fontId="0" fillId="0" borderId="8" xfId="2" applyFont="1" applyBorder="1"/>
    <xf numFmtId="164" fontId="0" fillId="0" borderId="8" xfId="0" applyNumberFormat="1" applyBorder="1" applyAlignment="1">
      <alignment horizontal="center" vertical="center"/>
    </xf>
    <xf numFmtId="0" fontId="0" fillId="0" borderId="0" xfId="0" pivotButton="1"/>
    <xf numFmtId="0" fontId="0" fillId="0" borderId="0" xfId="0" applyNumberFormat="1"/>
    <xf numFmtId="166" fontId="0" fillId="0" borderId="0" xfId="0" applyNumberFormat="1"/>
    <xf numFmtId="167" fontId="0" fillId="0" borderId="0" xfId="0" applyNumberFormat="1"/>
    <xf numFmtId="14" fontId="0" fillId="0" borderId="0" xfId="0" applyNumberFormat="1" applyAlignment="1">
      <alignment horizontal="left"/>
    </xf>
    <xf numFmtId="2" fontId="0" fillId="0" borderId="0" xfId="0" applyNumberFormat="1"/>
  </cellXfs>
  <cellStyles count="3">
    <cellStyle name="Hiperlink" xfId="1" builtinId="8"/>
    <cellStyle name="Moeda" xfId="2" builtinId="4"/>
    <cellStyle name="Normal" xfId="0" builtinId="0"/>
  </cellStyles>
  <dxfs count="57">
    <dxf>
      <font>
        <b/>
        <i val="0"/>
      </font>
      <fill>
        <patternFill>
          <bgColor theme="9" tint="0.59996337778862885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FF505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6" formatCode="_-[$$-540A]* #,##0.0_ ;_-[$$-540A]* \-#,##0.0\ ;_-[$$-540A]* &quot;-&quot;?_ ;_-@_ "/>
    </dxf>
    <dxf>
      <numFmt numFmtId="166" formatCode="_-[$$-540A]* #,##0.0_ ;_-[$$-540A]* \-#,##0.0\ ;_-[$$-540A]* &quot;-&quot;?_ ;_-@_ "/>
    </dxf>
    <dxf>
      <numFmt numFmtId="167" formatCode="[$$-C09]#,##0.0"/>
    </dxf>
    <dxf>
      <numFmt numFmtId="166" formatCode="_-[$$-540A]* #,##0.0_ ;_-[$$-540A]* \-#,##0.0\ ;_-[$$-540A]* &quot;-&quot;?_ ;_-@_ "/>
    </dxf>
    <dxf>
      <font>
        <b/>
        <i val="0"/>
      </font>
      <fill>
        <patternFill>
          <bgColor theme="9" tint="0.59996337778862885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FF505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6" tint="0.79998168889431442"/>
        </patternFill>
      </fill>
    </dxf>
    <dxf>
      <font>
        <b/>
        <i val="0"/>
        <color theme="9" tint="-0.24994659260841701"/>
      </font>
      <fill>
        <patternFill>
          <bgColor theme="0"/>
        </patternFill>
      </fill>
    </dxf>
    <dxf>
      <font>
        <b/>
        <i val="0"/>
      </font>
      <fill>
        <patternFill>
          <bgColor theme="9" tint="0.59996337778862885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FF505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6" tint="0.79998168889431442"/>
        </patternFill>
      </fill>
    </dxf>
    <dxf>
      <font>
        <b/>
        <i val="0"/>
        <color theme="9" tint="-0.24994659260841701"/>
      </font>
      <fill>
        <patternFill>
          <bgColor theme="0"/>
        </patternFill>
      </fill>
    </dxf>
    <dxf>
      <font>
        <b/>
        <i val="0"/>
      </font>
      <fill>
        <patternFill>
          <bgColor theme="9" tint="0.59996337778862885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FF505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6" tint="0.79998168889431442"/>
        </patternFill>
      </fill>
    </dxf>
    <dxf>
      <font>
        <b/>
        <i val="0"/>
        <color theme="9" tint="-0.24994659260841701"/>
      </font>
      <fill>
        <patternFill>
          <bgColor theme="0"/>
        </patternFill>
      </fill>
    </dxf>
    <dxf>
      <font>
        <b/>
        <i val="0"/>
      </font>
      <fill>
        <patternFill>
          <bgColor theme="9" tint="0.59996337778862885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FF505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6" tint="0.79998168889431442"/>
        </patternFill>
      </fill>
    </dxf>
    <dxf>
      <font>
        <b/>
        <i val="0"/>
        <color theme="9" tint="-0.24994659260841701"/>
      </font>
      <fill>
        <patternFill>
          <bgColor theme="0"/>
        </patternFill>
      </fill>
    </dxf>
    <dxf>
      <font>
        <b/>
        <i val="0"/>
      </font>
      <fill>
        <patternFill>
          <bgColor theme="9" tint="0.59996337778862885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FF505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6" tint="0.79998168889431442"/>
        </patternFill>
      </fill>
    </dxf>
    <dxf>
      <font>
        <b/>
        <i val="0"/>
        <color theme="9" tint="-0.24994659260841701"/>
      </font>
      <fill>
        <patternFill>
          <bgColor theme="0"/>
        </patternFill>
      </fill>
    </dxf>
    <dxf>
      <font>
        <b/>
        <i val="0"/>
      </font>
      <fill>
        <patternFill>
          <bgColor theme="9" tint="0.59996337778862885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FF505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6" tint="0.79998168889431442"/>
        </patternFill>
      </fill>
    </dxf>
    <dxf>
      <font>
        <b/>
        <i val="0"/>
        <color theme="9" tint="-0.24994659260841701"/>
      </font>
      <fill>
        <patternFill>
          <bgColor theme="0"/>
        </patternFill>
      </fill>
    </dxf>
    <dxf>
      <font>
        <b/>
        <i val="0"/>
      </font>
      <fill>
        <patternFill>
          <bgColor theme="9" tint="0.59996337778862885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FF505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6" tint="0.79998168889431442"/>
        </patternFill>
      </fill>
    </dxf>
    <dxf>
      <font>
        <b/>
        <i val="0"/>
        <color theme="9" tint="-0.24994659260841701"/>
      </font>
      <fill>
        <patternFill>
          <bgColor theme="0"/>
        </patternFill>
      </fill>
    </dxf>
    <dxf>
      <font>
        <b/>
        <i val="0"/>
      </font>
      <fill>
        <patternFill>
          <bgColor theme="9" tint="0.59996337778862885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FF505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6" tint="0.79998168889431442"/>
        </patternFill>
      </fill>
    </dxf>
    <dxf>
      <font>
        <b/>
        <i val="0"/>
        <color theme="9" tint="-0.24994659260841701"/>
      </font>
      <fill>
        <patternFill>
          <bgColor theme="0"/>
        </patternFill>
      </fill>
    </dxf>
    <dxf>
      <font>
        <b/>
        <i val="0"/>
      </font>
      <fill>
        <patternFill>
          <bgColor theme="9" tint="0.59996337778862885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FF505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6" tint="0.79998168889431442"/>
        </patternFill>
      </fill>
    </dxf>
    <dxf>
      <font>
        <b/>
        <i val="0"/>
        <color theme="9" tint="-0.24994659260841701"/>
      </font>
      <fill>
        <patternFill>
          <bgColor theme="0"/>
        </patternFill>
      </fill>
    </dxf>
    <dxf>
      <font>
        <b/>
        <i val="0"/>
      </font>
      <fill>
        <patternFill>
          <bgColor theme="9" tint="0.59996337778862885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FF505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6" tint="0.79998168889431442"/>
        </patternFill>
      </fill>
    </dxf>
    <dxf>
      <font>
        <b/>
        <i val="0"/>
        <color theme="9" tint="-0.24994659260841701"/>
      </font>
      <fill>
        <patternFill>
          <bgColor theme="0"/>
        </patternFill>
      </fill>
    </dxf>
    <dxf>
      <font>
        <b/>
        <i val="0"/>
      </font>
      <fill>
        <patternFill>
          <bgColor theme="9" tint="0.59996337778862885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FF505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6" tint="0.79998168889431442"/>
        </patternFill>
      </fill>
    </dxf>
    <dxf>
      <font>
        <b/>
        <i val="0"/>
        <color theme="9" tint="-0.24994659260841701"/>
      </font>
      <fill>
        <patternFill>
          <bgColor theme="0"/>
        </patternFill>
      </fill>
    </dxf>
    <dxf>
      <font>
        <b/>
        <sz val="11"/>
        <color theme="1"/>
      </font>
    </dxf>
    <dxf>
      <fill>
        <patternFill patternType="solid">
          <fgColor theme="0"/>
          <bgColor theme="0"/>
        </patternFill>
      </fill>
      <border diagonalUp="0" diagonalDown="0">
        <left/>
        <right/>
        <top/>
        <bottom/>
        <vertical/>
        <horizontal/>
      </border>
    </dxf>
  </dxfs>
  <tableStyles count="1" defaultTableStyle="TableStyleMedium2" defaultPivotStyle="PivotStyleLight16">
    <tableStyle name="Estilo de Linha do Tempo 1" pivot="0" table="0" count="8" xr9:uid="{3C8C128A-1163-4947-8560-F19D5781C214}">
      <tableStyleElement type="wholeTable" dxfId="56"/>
      <tableStyleElement type="headerRow" dxfId="55"/>
    </tableStyle>
  </tableStyles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A0A4C193-F2C1-4fcb-8827-314CF55A85BB}">
      <x15:dxfs count="6">
        <dxf>
          <fill>
            <patternFill patternType="solid">
              <fgColor theme="0" tint="-0.14999847407452621"/>
              <bgColor theme="0" tint="-0.14999847407452621"/>
            </patternFill>
          </fill>
        </dxf>
        <dxf>
          <fill>
            <patternFill patternType="solid">
              <fgColor theme="0"/>
              <bgColor theme="0"/>
            </patternFill>
          </fill>
        </dxf>
        <dxf>
          <font>
            <sz val="9"/>
            <color theme="1" tint="0.499984740745262"/>
          </font>
        </dxf>
        <dxf>
          <font>
            <sz val="9"/>
            <color theme="1" tint="0.499984740745262"/>
          </font>
        </dxf>
        <dxf>
          <font>
            <sz val="9"/>
            <color theme="1" tint="0.499984740745262"/>
          </font>
        </dxf>
        <dxf>
          <font>
            <sz val="10"/>
            <color theme="1" tint="0.499984740745262"/>
          </font>
        </dxf>
      </x15:dxfs>
    </ext>
    <ext xmlns:x15="http://schemas.microsoft.com/office/spreadsheetml/2010/11/main" uri="{9260A510-F301-46a8-8635-F512D64BE5F5}">
      <x15:timelineStyles defaultTimelineStyle="TimeSlicerStyleLight1">
        <x15:timelineStyle name="Estilo de Linha do Tempo 1">
          <x15:timelineStyleElements>
            <x15:timelineStyleElement type="selectionLabel" dxfId="5"/>
            <x15:timelineStyleElement type="timeLevel" dxfId="4"/>
            <x15:timelineStyleElement type="periodLabel1" dxfId="3"/>
            <x15:timelineStyleElement type="periodLabel2" dxfId="2"/>
            <x15:timelineStyleElement type="selectedTimeBlock" dxfId="1"/>
            <x15:timelineStyleElement type="unselectedTimeBlock" dxfId="0"/>
          </x15:timelineStyleElements>
        </x15:timelineStyle>
      </x15:timelineStyles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1/relationships/timelineCache" Target="timelineCaches/timelineCache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1/relationships/timelineCache" Target="timelineCaches/timelineCache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[Controle-Gastos-Clean-Versao2-MacrosVBA.xlsm]Consolidado_do_Dash!Tabela dinâmica1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Clientes Maior Lucro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Consolidado_do_Dash!$C$2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Consolidado_do_Dash!$B$3:$B$8</c:f>
              <c:strCache>
                <c:ptCount val="5"/>
                <c:pt idx="0">
                  <c:v>Joao J</c:v>
                </c:pt>
                <c:pt idx="1">
                  <c:v>João da silva </c:v>
                </c:pt>
                <c:pt idx="2">
                  <c:v>Maria</c:v>
                </c:pt>
                <c:pt idx="3">
                  <c:v>Sofia Martins</c:v>
                </c:pt>
                <c:pt idx="4">
                  <c:v>João Henrique</c:v>
                </c:pt>
              </c:strCache>
            </c:strRef>
          </c:cat>
          <c:val>
            <c:numRef>
              <c:f>Consolidado_do_Dash!$C$3:$C$8</c:f>
              <c:numCache>
                <c:formatCode>0.00</c:formatCode>
                <c:ptCount val="5"/>
                <c:pt idx="0">
                  <c:v>6180</c:v>
                </c:pt>
                <c:pt idx="1">
                  <c:v>7155</c:v>
                </c:pt>
                <c:pt idx="2">
                  <c:v>7286</c:v>
                </c:pt>
                <c:pt idx="3">
                  <c:v>8035</c:v>
                </c:pt>
                <c:pt idx="4">
                  <c:v>15162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4D4-43BC-A174-D9BF2A81F5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469559935"/>
        <c:axId val="469576255"/>
      </c:barChart>
      <c:catAx>
        <c:axId val="469559935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69576255"/>
        <c:crosses val="autoZero"/>
        <c:auto val="1"/>
        <c:lblAlgn val="ctr"/>
        <c:lblOffset val="100"/>
        <c:noMultiLvlLbl val="0"/>
      </c:catAx>
      <c:valAx>
        <c:axId val="469576255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4695599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[Controle-Gastos-Clean-Versao2-MacrosVBA.xlsm]Consolidado_do_Dash!Tabela dinâmica5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Custo Funcionario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Consolidado_do_Dash!$P$2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Consolidado_do_Dash!$O$3:$O$11</c:f>
              <c:strCache>
                <c:ptCount val="8"/>
                <c:pt idx="0">
                  <c:v>mar</c:v>
                </c:pt>
                <c:pt idx="1">
                  <c:v>abr</c:v>
                </c:pt>
                <c:pt idx="2">
                  <c:v>mai</c:v>
                </c:pt>
                <c:pt idx="3">
                  <c:v>jun</c:v>
                </c:pt>
                <c:pt idx="4">
                  <c:v>jul</c:v>
                </c:pt>
                <c:pt idx="5">
                  <c:v>ago</c:v>
                </c:pt>
                <c:pt idx="6">
                  <c:v>set</c:v>
                </c:pt>
                <c:pt idx="7">
                  <c:v>out</c:v>
                </c:pt>
              </c:strCache>
            </c:strRef>
          </c:cat>
          <c:val>
            <c:numRef>
              <c:f>Consolidado_do_Dash!$P$3:$P$11</c:f>
              <c:numCache>
                <c:formatCode>0.00</c:formatCode>
                <c:ptCount val="8"/>
                <c:pt idx="0">
                  <c:v>336</c:v>
                </c:pt>
                <c:pt idx="1">
                  <c:v>6512.8</c:v>
                </c:pt>
                <c:pt idx="2">
                  <c:v>2072</c:v>
                </c:pt>
                <c:pt idx="3">
                  <c:v>2086</c:v>
                </c:pt>
                <c:pt idx="4">
                  <c:v>3052</c:v>
                </c:pt>
                <c:pt idx="5">
                  <c:v>2072</c:v>
                </c:pt>
                <c:pt idx="6">
                  <c:v>2688</c:v>
                </c:pt>
                <c:pt idx="7">
                  <c:v>2800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A2-4D86-A9FA-4C66B7B9607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610006239"/>
        <c:axId val="609981279"/>
      </c:barChart>
      <c:catAx>
        <c:axId val="61000623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09981279"/>
        <c:crosses val="autoZero"/>
        <c:auto val="1"/>
        <c:lblAlgn val="ctr"/>
        <c:lblOffset val="100"/>
        <c:noMultiLvlLbl val="0"/>
      </c:catAx>
      <c:valAx>
        <c:axId val="609981279"/>
        <c:scaling>
          <c:orientation val="minMax"/>
        </c:scaling>
        <c:delete val="1"/>
        <c:axPos val="l"/>
        <c:numFmt formatCode="0.00" sourceLinked="1"/>
        <c:majorTickMark val="out"/>
        <c:minorTickMark val="none"/>
        <c:tickLblPos val="nextTo"/>
        <c:crossAx val="6100062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pivotSource>
    <c:name>[Controle-Gastos-Clean-Versao2-MacrosVBA.xlsm]Consolidado_do_Dash!Tabela dinâmica4</c:name>
    <c:fmtId val="27"/>
  </c:pivotSource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4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pt-BR" sz="16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Ganhos vs Custos</a:t>
            </a:r>
          </a:p>
        </c:rich>
      </c:tx>
      <c:layout>
        <c:manualLayout>
          <c:xMode val="edge"/>
          <c:yMode val="edge"/>
          <c:x val="0.31045425116692049"/>
          <c:y val="2.234636871508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4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3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overflow" horzOverflow="overflow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1"/>
          <c:showVal val="1"/>
          <c:showCatName val="0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lumMod val="60000"/>
              <a:lumOff val="4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5">
              <a:lumMod val="75000"/>
            </a:schemeClr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1131325854852002"/>
              <c:y val="-2.277289186677824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overflow" horzOverflow="overflow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bestFit"/>
          <c:showLegendKey val="1"/>
          <c:showVal val="1"/>
          <c:showCatName val="0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C000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3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overflow" horzOverflow="overflow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1"/>
          <c:showVal val="1"/>
          <c:showCatName val="0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C000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5">
              <a:lumMod val="75000"/>
            </a:schemeClr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1131325854852002"/>
              <c:y val="-2.277289186677824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overflow" horzOverflow="overflow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bestFit"/>
          <c:showLegendKey val="1"/>
          <c:showVal val="1"/>
          <c:showCatName val="0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>
              <a:lumMod val="60000"/>
              <a:lumOff val="4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3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overflow" horzOverflow="overflow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1"/>
          <c:showVal val="1"/>
          <c:showCatName val="0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FC000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5.9411637758279429E-2"/>
              <c:y val="-0.1266294227188082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overflow" horzOverflow="overflow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bestFit"/>
          <c:showLegendKey val="1"/>
          <c:showVal val="1"/>
          <c:showCatName val="0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5">
              <a:lumMod val="75000"/>
            </a:schemeClr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26886415627177379"/>
              <c:y val="-7.8751887857593222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overflow" horzOverflow="overflow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bestFit"/>
          <c:showLegendKey val="1"/>
          <c:showVal val="1"/>
          <c:showCatName val="0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>
              <a:lumMod val="60000"/>
              <a:lumOff val="40000"/>
            </a:schemeClr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23253984794578827"/>
          <c:y val="0.22556166512705464"/>
          <c:w val="0.54275905018528914"/>
          <c:h val="0.60629217437205829"/>
        </c:manualLayout>
      </c:layout>
      <c:ofPieChart>
        <c:ofPieType val="pie"/>
        <c:varyColors val="1"/>
        <c:ser>
          <c:idx val="0"/>
          <c:order val="0"/>
          <c:tx>
            <c:strRef>
              <c:f>Consolidado_do_Dash!$M$2</c:f>
              <c:strCache>
                <c:ptCount val="1"/>
                <c:pt idx="0">
                  <c:v>Total</c:v>
                </c:pt>
              </c:strCache>
            </c:strRef>
          </c:tx>
          <c:explosion val="2"/>
          <c:dPt>
            <c:idx val="0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654-46BD-AAAB-F18CC925DF6C}"/>
              </c:ext>
            </c:extLst>
          </c:dPt>
          <c:dPt>
            <c:idx val="1"/>
            <c:bubble3D val="0"/>
            <c:explosion val="0"/>
            <c:spPr>
              <a:solidFill>
                <a:schemeClr val="accent5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654-46BD-AAAB-F18CC925DF6C}"/>
              </c:ext>
            </c:extLst>
          </c:dPt>
          <c:dPt>
            <c:idx val="2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654-46BD-AAAB-F18CC925DF6C}"/>
              </c:ext>
            </c:extLst>
          </c:dPt>
          <c:dPt>
            <c:idx val="3"/>
            <c:bubble3D val="0"/>
            <c:explosion val="0"/>
            <c:spPr>
              <a:solidFill>
                <a:schemeClr val="accent3">
                  <a:shade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654-46BD-AAAB-F18CC925DF6C}"/>
              </c:ext>
            </c:extLst>
          </c:dPt>
          <c:dLbls>
            <c:dLbl>
              <c:idx val="0"/>
              <c:layout>
                <c:manualLayout>
                  <c:x val="5.9411637758279429E-2"/>
                  <c:y val="-0.12662942271880825"/>
                </c:manualLayout>
              </c:layout>
              <c:dLblPos val="bestFit"/>
              <c:showLegendKey val="1"/>
              <c:showVal val="1"/>
              <c:showCatName val="0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654-46BD-AAAB-F18CC925DF6C}"/>
                </c:ext>
              </c:extLst>
            </c:dLbl>
            <c:dLbl>
              <c:idx val="1"/>
              <c:layout>
                <c:manualLayout>
                  <c:x val="0.26886415627177379"/>
                  <c:y val="-7.8751887857593222E-3"/>
                </c:manualLayout>
              </c:layout>
              <c:dLblPos val="bestFit"/>
              <c:showLegendKey val="1"/>
              <c:showVal val="1"/>
              <c:showCatName val="0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654-46BD-AAAB-F18CC925DF6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1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Consolidado_do_Dash!$L$3:$L$5</c:f>
              <c:strCache>
                <c:ptCount val="3"/>
                <c:pt idx="0">
                  <c:v>Custos Total</c:v>
                </c:pt>
                <c:pt idx="1">
                  <c:v>Custo Funcionario</c:v>
                </c:pt>
                <c:pt idx="2">
                  <c:v>Lucro Total</c:v>
                </c:pt>
              </c:strCache>
            </c:strRef>
          </c:cat>
          <c:val>
            <c:numRef>
              <c:f>Consolidado_do_Dash!$M$3:$M$5</c:f>
              <c:numCache>
                <c:formatCode>0.00</c:formatCode>
                <c:ptCount val="3"/>
                <c:pt idx="0">
                  <c:v>747</c:v>
                </c:pt>
                <c:pt idx="1">
                  <c:v>21618.799999999999</c:v>
                </c:pt>
                <c:pt idx="2">
                  <c:v>48522.2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654-46BD-AAAB-F18CC925DF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gapWidth val="80"/>
        <c:splitType val="cust"/>
        <c:custSplit>
          <c:secondPiePt val="0"/>
          <c:secondPiePt val="1"/>
        </c:custSplit>
        <c:secondPieSize val="72"/>
        <c:serLines>
          <c:spPr>
            <a:ln w="9525" cap="flat" cmpd="sng" algn="ctr">
              <a:solidFill>
                <a:schemeClr val="tx1">
                  <a:lumMod val="35000"/>
                  <a:lumOff val="65000"/>
                </a:schemeClr>
              </a:solidFill>
              <a:round/>
            </a:ln>
            <a:effectLst/>
          </c:spPr>
        </c:serLines>
      </c:of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[Controle-Gastos-Clean-Versao2-MacrosVBA.xlsm]Consolidado-Rascunho!Tabela dinâmica3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/>
              <a:t>Lucro Vs Custos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'Consolidado-Rascunho'!$J$4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7DC4-4D43-B80B-B0F1130CBAB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A91-4063-8730-03F7AE405A0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A91-4063-8730-03F7AE405A04}"/>
              </c:ext>
            </c:extLst>
          </c:dPt>
          <c:cat>
            <c:strRef>
              <c:f>'Consolidado-Rascunho'!$I$5:$I$7</c:f>
              <c:strCache>
                <c:ptCount val="3"/>
                <c:pt idx="0">
                  <c:v>Lucro Total</c:v>
                </c:pt>
                <c:pt idx="1">
                  <c:v>Custos Total</c:v>
                </c:pt>
                <c:pt idx="2">
                  <c:v>Custo Funcionario</c:v>
                </c:pt>
              </c:strCache>
            </c:strRef>
          </c:cat>
          <c:val>
            <c:numRef>
              <c:f>'Consolidado-Rascunho'!$J$5:$J$7</c:f>
              <c:numCache>
                <c:formatCode>General</c:formatCode>
                <c:ptCount val="3"/>
                <c:pt idx="0">
                  <c:v>25308.45</c:v>
                </c:pt>
                <c:pt idx="1">
                  <c:v>78.75</c:v>
                </c:pt>
                <c:pt idx="2">
                  <c:v>6512.7999999999993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C4-4D43-B80B-B0F1130CBA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[Controle-Gastos-Clean-Versao2-MacrosVBA.xlsm]Consolidado-Rascunho!Tabela dinâmica2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rPr>
              <a:t>Clientes Maior Lucro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1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'Consolidado-Rascunho'!$F$4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'Consolidado-Rascunho'!$E$5:$E$17</c:f>
              <c:strCache>
                <c:ptCount val="12"/>
                <c:pt idx="0">
                  <c:v>Denis</c:v>
                </c:pt>
                <c:pt idx="1">
                  <c:v>Joao</c:v>
                </c:pt>
                <c:pt idx="2">
                  <c:v>João da silva </c:v>
                </c:pt>
                <c:pt idx="3">
                  <c:v>João Henrique</c:v>
                </c:pt>
                <c:pt idx="4">
                  <c:v>Joao J</c:v>
                </c:pt>
                <c:pt idx="5">
                  <c:v>Maria</c:v>
                </c:pt>
                <c:pt idx="6">
                  <c:v>Pam</c:v>
                </c:pt>
                <c:pt idx="7">
                  <c:v>Paula Pereira </c:v>
                </c:pt>
                <c:pt idx="8">
                  <c:v>Robert</c:v>
                </c:pt>
                <c:pt idx="9">
                  <c:v>Sofia Martins</c:v>
                </c:pt>
                <c:pt idx="10">
                  <c:v>(vazio)</c:v>
                </c:pt>
                <c:pt idx="11">
                  <c:v>Mariana Ribeiro</c:v>
                </c:pt>
              </c:strCache>
            </c:strRef>
          </c:cat>
          <c:val>
            <c:numRef>
              <c:f>'Consolidado-Rascunho'!$F$5:$F$17</c:f>
              <c:numCache>
                <c:formatCode>[$$-C09]#,##0.0</c:formatCode>
                <c:ptCount val="12"/>
                <c:pt idx="0">
                  <c:v>1344</c:v>
                </c:pt>
                <c:pt idx="1">
                  <c:v>1344</c:v>
                </c:pt>
                <c:pt idx="2">
                  <c:v>1391.1999999999998</c:v>
                </c:pt>
                <c:pt idx="3">
                  <c:v>10528</c:v>
                </c:pt>
                <c:pt idx="4">
                  <c:v>2656</c:v>
                </c:pt>
                <c:pt idx="5">
                  <c:v>1700</c:v>
                </c:pt>
                <c:pt idx="6">
                  <c:v>112.25</c:v>
                </c:pt>
                <c:pt idx="7">
                  <c:v>128</c:v>
                </c:pt>
                <c:pt idx="8">
                  <c:v>1261</c:v>
                </c:pt>
                <c:pt idx="9">
                  <c:v>5664</c:v>
                </c:pt>
                <c:pt idx="10">
                  <c:v>-840</c:v>
                </c:pt>
                <c:pt idx="11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B8A-467D-A636-5C1328E613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616058912"/>
        <c:axId val="616055072"/>
      </c:barChart>
      <c:catAx>
        <c:axId val="61605891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16055072"/>
        <c:crosses val="autoZero"/>
        <c:auto val="1"/>
        <c:lblAlgn val="ctr"/>
        <c:lblOffset val="100"/>
        <c:noMultiLvlLbl val="0"/>
      </c:catAx>
      <c:valAx>
        <c:axId val="616055072"/>
        <c:scaling>
          <c:orientation val="minMax"/>
        </c:scaling>
        <c:delete val="1"/>
        <c:axPos val="b"/>
        <c:numFmt formatCode="[$$-C09]#,##0.0" sourceLinked="1"/>
        <c:majorTickMark val="none"/>
        <c:minorTickMark val="none"/>
        <c:tickLblPos val="nextTo"/>
        <c:crossAx val="616058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[Controle-Gastos-Clean-Versao2-MacrosVBA.xlsm]Consolidado-Rascunho!Tabela dinâmica5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rPr>
              <a:t>Custo Funcionario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1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'Consolidado-Rascunho'!$M$5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'Consolidado-Rascunho'!$L$6:$L$25</c:f>
              <c:strCache>
                <c:ptCount val="19"/>
                <c:pt idx="0">
                  <c:v>01/04/2025</c:v>
                </c:pt>
                <c:pt idx="1">
                  <c:v>02/04/2025</c:v>
                </c:pt>
                <c:pt idx="2">
                  <c:v>03/04/2025</c:v>
                </c:pt>
                <c:pt idx="3">
                  <c:v>04/04/2025</c:v>
                </c:pt>
                <c:pt idx="4">
                  <c:v>05/04/2025</c:v>
                </c:pt>
                <c:pt idx="5">
                  <c:v>06/04/2025</c:v>
                </c:pt>
                <c:pt idx="6">
                  <c:v>07/04/2025</c:v>
                </c:pt>
                <c:pt idx="7">
                  <c:v>08/04/2025</c:v>
                </c:pt>
                <c:pt idx="8">
                  <c:v>09/04/2025</c:v>
                </c:pt>
                <c:pt idx="9">
                  <c:v>10/04/2025</c:v>
                </c:pt>
                <c:pt idx="10">
                  <c:v>11/04/2025</c:v>
                </c:pt>
                <c:pt idx="11">
                  <c:v>12/04/2025</c:v>
                </c:pt>
                <c:pt idx="12">
                  <c:v>13/04/2025</c:v>
                </c:pt>
                <c:pt idx="13">
                  <c:v>14/04/2025</c:v>
                </c:pt>
                <c:pt idx="14">
                  <c:v>15/04/2025</c:v>
                </c:pt>
                <c:pt idx="15">
                  <c:v>16/04/2025</c:v>
                </c:pt>
                <c:pt idx="16">
                  <c:v>17/04/2025</c:v>
                </c:pt>
                <c:pt idx="17">
                  <c:v>18/04/2025</c:v>
                </c:pt>
                <c:pt idx="18">
                  <c:v>19/04/2025</c:v>
                </c:pt>
              </c:strCache>
            </c:strRef>
          </c:cat>
          <c:val>
            <c:numRef>
              <c:f>'Consolidado-Rascunho'!$M$6:$M$25</c:f>
              <c:numCache>
                <c:formatCode>General</c:formatCode>
                <c:ptCount val="19"/>
                <c:pt idx="0">
                  <c:v>336</c:v>
                </c:pt>
                <c:pt idx="1">
                  <c:v>672</c:v>
                </c:pt>
                <c:pt idx="2">
                  <c:v>588</c:v>
                </c:pt>
                <c:pt idx="3">
                  <c:v>1188.6000000000001</c:v>
                </c:pt>
                <c:pt idx="4">
                  <c:v>1260</c:v>
                </c:pt>
                <c:pt idx="5">
                  <c:v>252</c:v>
                </c:pt>
                <c:pt idx="6">
                  <c:v>280</c:v>
                </c:pt>
                <c:pt idx="7">
                  <c:v>280</c:v>
                </c:pt>
                <c:pt idx="8">
                  <c:v>280</c:v>
                </c:pt>
                <c:pt idx="9">
                  <c:v>280</c:v>
                </c:pt>
                <c:pt idx="10">
                  <c:v>112</c:v>
                </c:pt>
                <c:pt idx="11">
                  <c:v>84</c:v>
                </c:pt>
                <c:pt idx="12">
                  <c:v>172.20000000000002</c:v>
                </c:pt>
                <c:pt idx="13">
                  <c:v>168</c:v>
                </c:pt>
                <c:pt idx="14">
                  <c:v>56</c:v>
                </c:pt>
                <c:pt idx="15">
                  <c:v>84</c:v>
                </c:pt>
                <c:pt idx="16">
                  <c:v>168</c:v>
                </c:pt>
                <c:pt idx="17">
                  <c:v>168</c:v>
                </c:pt>
                <c:pt idx="18">
                  <c:v>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FB-445A-A5F3-E62956D4E3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07784704"/>
        <c:axId val="507804384"/>
      </c:barChart>
      <c:catAx>
        <c:axId val="50778470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507804384"/>
        <c:crosses val="autoZero"/>
        <c:auto val="1"/>
        <c:lblAlgn val="ctr"/>
        <c:lblOffset val="100"/>
        <c:noMultiLvlLbl val="0"/>
      </c:catAx>
      <c:valAx>
        <c:axId val="50780438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507784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[Controle-Gastos-Clean-Versao2-MacrosVBA.xlsm]Consolidado_do_Dash!Tabela dinâmica1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Clientes Maior Lucro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Consolidado_do_Dash!$C$2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Consolidado_do_Dash!$B$3:$B$8</c:f>
              <c:strCache>
                <c:ptCount val="5"/>
                <c:pt idx="0">
                  <c:v>Joao J</c:v>
                </c:pt>
                <c:pt idx="1">
                  <c:v>João da silva </c:v>
                </c:pt>
                <c:pt idx="2">
                  <c:v>Maria</c:v>
                </c:pt>
                <c:pt idx="3">
                  <c:v>Sofia Martins</c:v>
                </c:pt>
                <c:pt idx="4">
                  <c:v>João Henrique</c:v>
                </c:pt>
              </c:strCache>
            </c:strRef>
          </c:cat>
          <c:val>
            <c:numRef>
              <c:f>Consolidado_do_Dash!$C$3:$C$8</c:f>
              <c:numCache>
                <c:formatCode>0.00</c:formatCode>
                <c:ptCount val="5"/>
                <c:pt idx="0">
                  <c:v>6180</c:v>
                </c:pt>
                <c:pt idx="1">
                  <c:v>7155</c:v>
                </c:pt>
                <c:pt idx="2">
                  <c:v>7286</c:v>
                </c:pt>
                <c:pt idx="3">
                  <c:v>8035</c:v>
                </c:pt>
                <c:pt idx="4">
                  <c:v>15162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A4-4A40-BEC4-68620542B8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469559935"/>
        <c:axId val="469576255"/>
      </c:barChart>
      <c:catAx>
        <c:axId val="46955993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69576255"/>
        <c:crosses val="autoZero"/>
        <c:auto val="1"/>
        <c:lblAlgn val="ctr"/>
        <c:lblOffset val="100"/>
        <c:noMultiLvlLbl val="0"/>
      </c:catAx>
      <c:valAx>
        <c:axId val="469576255"/>
        <c:scaling>
          <c:orientation val="minMax"/>
        </c:scaling>
        <c:delete val="1"/>
        <c:axPos val="b"/>
        <c:numFmt formatCode="0.00" sourceLinked="1"/>
        <c:majorTickMark val="none"/>
        <c:minorTickMark val="none"/>
        <c:tickLblPos val="nextTo"/>
        <c:crossAx val="4695599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[Controle-Gastos-Clean-Versao2-MacrosVBA.xlsm]Consolidado_do_Dash!Tabela dinâmica5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Custo Funcionario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Consolidado_do_Dash!$P$2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Consolidado_do_Dash!$O$3:$O$11</c:f>
              <c:strCache>
                <c:ptCount val="8"/>
                <c:pt idx="0">
                  <c:v>mar</c:v>
                </c:pt>
                <c:pt idx="1">
                  <c:v>abr</c:v>
                </c:pt>
                <c:pt idx="2">
                  <c:v>mai</c:v>
                </c:pt>
                <c:pt idx="3">
                  <c:v>jun</c:v>
                </c:pt>
                <c:pt idx="4">
                  <c:v>jul</c:v>
                </c:pt>
                <c:pt idx="5">
                  <c:v>ago</c:v>
                </c:pt>
                <c:pt idx="6">
                  <c:v>set</c:v>
                </c:pt>
                <c:pt idx="7">
                  <c:v>out</c:v>
                </c:pt>
              </c:strCache>
            </c:strRef>
          </c:cat>
          <c:val>
            <c:numRef>
              <c:f>Consolidado_do_Dash!$P$3:$P$11</c:f>
              <c:numCache>
                <c:formatCode>0.00</c:formatCode>
                <c:ptCount val="8"/>
                <c:pt idx="0">
                  <c:v>336</c:v>
                </c:pt>
                <c:pt idx="1">
                  <c:v>6512.8</c:v>
                </c:pt>
                <c:pt idx="2">
                  <c:v>2072</c:v>
                </c:pt>
                <c:pt idx="3">
                  <c:v>2086</c:v>
                </c:pt>
                <c:pt idx="4">
                  <c:v>3052</c:v>
                </c:pt>
                <c:pt idx="5">
                  <c:v>2072</c:v>
                </c:pt>
                <c:pt idx="6">
                  <c:v>2688</c:v>
                </c:pt>
                <c:pt idx="7">
                  <c:v>2800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493-4C5A-AB46-D2AAB0F3C5F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610006239"/>
        <c:axId val="609981279"/>
      </c:barChart>
      <c:catAx>
        <c:axId val="61000623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09981279"/>
        <c:crosses val="autoZero"/>
        <c:auto val="1"/>
        <c:lblAlgn val="ctr"/>
        <c:lblOffset val="100"/>
        <c:noMultiLvlLbl val="0"/>
      </c:catAx>
      <c:valAx>
        <c:axId val="609981279"/>
        <c:scaling>
          <c:orientation val="minMax"/>
        </c:scaling>
        <c:delete val="1"/>
        <c:axPos val="l"/>
        <c:numFmt formatCode="0.00" sourceLinked="1"/>
        <c:majorTickMark val="out"/>
        <c:minorTickMark val="none"/>
        <c:tickLblPos val="nextTo"/>
        <c:crossAx val="6100062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pivotSource>
    <c:name>[Controle-Gastos-Clean-Versao2-MacrosVBA.xlsm]Consolidado_do_Dash!Tabela dinâmica4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4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pt-BR" sz="16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Ganhos vs Custos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4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3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overflow" horzOverflow="overflow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1"/>
          <c:showVal val="1"/>
          <c:showCatName val="0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lumMod val="60000"/>
              <a:lumOff val="4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5">
              <a:lumMod val="75000"/>
            </a:schemeClr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1131325854852002"/>
              <c:y val="-2.277289186677824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overflow" horzOverflow="overflow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bestFit"/>
          <c:showLegendKey val="1"/>
          <c:showVal val="1"/>
          <c:showCatName val="0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C000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17929011645162982"/>
          <c:y val="0.13617636337124528"/>
          <c:w val="0.67118505973892939"/>
          <c:h val="0.76271689997083703"/>
        </c:manualLayout>
      </c:layout>
      <c:ofPieChart>
        <c:ofPieType val="pie"/>
        <c:varyColors val="1"/>
        <c:ser>
          <c:idx val="0"/>
          <c:order val="0"/>
          <c:tx>
            <c:strRef>
              <c:f>Consolidado_do_Dash!$M$2</c:f>
              <c:strCache>
                <c:ptCount val="1"/>
                <c:pt idx="0">
                  <c:v>Total</c:v>
                </c:pt>
              </c:strCache>
            </c:strRef>
          </c:tx>
          <c:explosion val="2"/>
          <c:dPt>
            <c:idx val="0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070B-4E8E-B9A7-A362606F17FE}"/>
              </c:ext>
            </c:extLst>
          </c:dPt>
          <c:dPt>
            <c:idx val="1"/>
            <c:bubble3D val="0"/>
            <c:spPr>
              <a:solidFill>
                <a:schemeClr val="accent5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70B-4E8E-B9A7-A362606F17FE}"/>
              </c:ext>
            </c:extLst>
          </c:dPt>
          <c:dPt>
            <c:idx val="2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070B-4E8E-B9A7-A362606F17FE}"/>
              </c:ext>
            </c:extLst>
          </c:dPt>
          <c:dPt>
            <c:idx val="3"/>
            <c:bubble3D val="0"/>
            <c:spPr>
              <a:solidFill>
                <a:schemeClr val="accent3">
                  <a:shade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70B-4E8E-B9A7-A362606F17FE}"/>
              </c:ext>
            </c:extLst>
          </c:dPt>
          <c:dLbls>
            <c:dLbl>
              <c:idx val="1"/>
              <c:layout>
                <c:manualLayout>
                  <c:x val="0.11131325854852002"/>
                  <c:y val="-2.2772891866778246E-2"/>
                </c:manualLayout>
              </c:layout>
              <c:dLblPos val="bestFit"/>
              <c:showLegendKey val="1"/>
              <c:showVal val="1"/>
              <c:showCatName val="0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70B-4E8E-B9A7-A362606F17F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1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Consolidado_do_Dash!$L$3:$L$5</c:f>
              <c:strCache>
                <c:ptCount val="3"/>
                <c:pt idx="0">
                  <c:v>Custos Total</c:v>
                </c:pt>
                <c:pt idx="1">
                  <c:v>Custo Funcionario</c:v>
                </c:pt>
                <c:pt idx="2">
                  <c:v>Lucro Total</c:v>
                </c:pt>
              </c:strCache>
            </c:strRef>
          </c:cat>
          <c:val>
            <c:numRef>
              <c:f>Consolidado_do_Dash!$M$3:$M$5</c:f>
              <c:numCache>
                <c:formatCode>0.00</c:formatCode>
                <c:ptCount val="3"/>
                <c:pt idx="0">
                  <c:v>747</c:v>
                </c:pt>
                <c:pt idx="1">
                  <c:v>21618.799999999999</c:v>
                </c:pt>
                <c:pt idx="2">
                  <c:v>48522.2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0B-4E8E-B9A7-A362606F17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gapWidth val="80"/>
        <c:splitType val="cust"/>
        <c:custSplit>
          <c:secondPiePt val="0"/>
          <c:secondPiePt val="1"/>
        </c:custSplit>
        <c:secondPieSize val="72"/>
        <c:serLines>
          <c:spPr>
            <a:ln w="9525" cap="flat" cmpd="sng" algn="ctr">
              <a:solidFill>
                <a:schemeClr val="tx1">
                  <a:lumMod val="35000"/>
                  <a:lumOff val="65000"/>
                </a:schemeClr>
              </a:solidFill>
              <a:round/>
            </a:ln>
            <a:effectLst/>
          </c:spPr>
        </c:serLines>
      </c:of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8.6665619125768908E-2"/>
          <c:y val="0.88020778652668419"/>
          <c:w val="0.64415114040525989"/>
          <c:h val="7.81255468066491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Reversed" id="23">
  <a:schemeClr val="accent3"/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withinLinearReversed" id="23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50000"/>
            <a:lumOff val="50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4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3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50000"/>
            <a:lumOff val="50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4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4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18</xdr:col>
      <xdr:colOff>10823</xdr:colOff>
      <xdr:row>33</xdr:row>
      <xdr:rowOff>9525</xdr:rowOff>
    </xdr:to>
    <xdr:sp macro="" textlink="">
      <xdr:nvSpPr>
        <xdr:cNvPr id="20" name="Retângulo 19">
          <a:extLst>
            <a:ext uri="{FF2B5EF4-FFF2-40B4-BE49-F238E27FC236}">
              <a16:creationId xmlns:a16="http://schemas.microsoft.com/office/drawing/2014/main" id="{08A06EF9-0F1C-3DF2-EC9E-D282F8E467FD}"/>
            </a:ext>
          </a:extLst>
        </xdr:cNvPr>
        <xdr:cNvSpPr/>
      </xdr:nvSpPr>
      <xdr:spPr>
        <a:xfrm>
          <a:off x="0" y="0"/>
          <a:ext cx="10921278" cy="64389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589686</xdr:colOff>
      <xdr:row>13</xdr:row>
      <xdr:rowOff>194829</xdr:rowOff>
    </xdr:from>
    <xdr:to>
      <xdr:col>16</xdr:col>
      <xdr:colOff>575959</xdr:colOff>
      <xdr:row>24</xdr:row>
      <xdr:rowOff>9525</xdr:rowOff>
    </xdr:to>
    <xdr:sp macro="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F5214906-244B-3734-4FF8-577FFAA0993E}"/>
            </a:ext>
          </a:extLst>
        </xdr:cNvPr>
        <xdr:cNvSpPr/>
      </xdr:nvSpPr>
      <xdr:spPr>
        <a:xfrm>
          <a:off x="6044913" y="2727613"/>
          <a:ext cx="4229228" cy="1957821"/>
        </a:xfrm>
        <a:prstGeom prst="roundRect">
          <a:avLst/>
        </a:prstGeom>
        <a:solidFill>
          <a:schemeClr val="bg1"/>
        </a:solidFill>
        <a:ln>
          <a:solidFill>
            <a:schemeClr val="accent1">
              <a:lumMod val="7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</xdr:colOff>
      <xdr:row>0</xdr:row>
      <xdr:rowOff>0</xdr:rowOff>
    </xdr:from>
    <xdr:to>
      <xdr:col>1</xdr:col>
      <xdr:colOff>571501</xdr:colOff>
      <xdr:row>33</xdr:row>
      <xdr:rowOff>28575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3C9DC663-0FA1-A06E-A936-70772A731B99}"/>
            </a:ext>
          </a:extLst>
        </xdr:cNvPr>
        <xdr:cNvSpPr/>
      </xdr:nvSpPr>
      <xdr:spPr>
        <a:xfrm>
          <a:off x="1" y="0"/>
          <a:ext cx="1181100" cy="6315075"/>
        </a:xfrm>
        <a:prstGeom prst="rect">
          <a:avLst/>
        </a:prstGeom>
        <a:solidFill>
          <a:srgbClr val="00206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pt-BR" sz="2000" b="1"/>
        </a:p>
        <a:p>
          <a:pPr algn="ctr"/>
          <a:r>
            <a:rPr lang="pt-BR" sz="2000" b="1"/>
            <a:t>The Clean Team </a:t>
          </a:r>
        </a:p>
      </xdr:txBody>
    </xdr:sp>
    <xdr:clientData/>
  </xdr:twoCellAnchor>
  <xdr:twoCellAnchor editAs="oneCell">
    <xdr:from>
      <xdr:col>0</xdr:col>
      <xdr:colOff>266701</xdr:colOff>
      <xdr:row>7</xdr:row>
      <xdr:rowOff>47626</xdr:rowOff>
    </xdr:from>
    <xdr:to>
      <xdr:col>1</xdr:col>
      <xdr:colOff>266700</xdr:colOff>
      <xdr:row>9</xdr:row>
      <xdr:rowOff>16878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4A0CCF2C-AA9C-1AA1-F89F-BC029E1049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6701" y="1381126"/>
          <a:ext cx="609599" cy="350252"/>
        </a:xfrm>
        <a:prstGeom prst="rect">
          <a:avLst/>
        </a:prstGeom>
      </xdr:spPr>
    </xdr:pic>
    <xdr:clientData/>
  </xdr:twoCellAnchor>
  <xdr:twoCellAnchor>
    <xdr:from>
      <xdr:col>2</xdr:col>
      <xdr:colOff>285749</xdr:colOff>
      <xdr:row>14</xdr:row>
      <xdr:rowOff>32471</xdr:rowOff>
    </xdr:from>
    <xdr:to>
      <xdr:col>9</xdr:col>
      <xdr:colOff>248949</xdr:colOff>
      <xdr:row>24</xdr:row>
      <xdr:rowOff>19050</xdr:rowOff>
    </xdr:to>
    <xdr:sp macro="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8B59D327-EBA6-99C8-7D32-226E82B6E6F0}"/>
            </a:ext>
          </a:extLst>
        </xdr:cNvPr>
        <xdr:cNvSpPr/>
      </xdr:nvSpPr>
      <xdr:spPr>
        <a:xfrm>
          <a:off x="1498022" y="2760085"/>
          <a:ext cx="4206154" cy="1934874"/>
        </a:xfrm>
        <a:prstGeom prst="roundRect">
          <a:avLst/>
        </a:prstGeom>
        <a:solidFill>
          <a:schemeClr val="bg1"/>
        </a:solidFill>
        <a:ln>
          <a:solidFill>
            <a:schemeClr val="accent1">
              <a:lumMod val="7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304800</xdr:colOff>
      <xdr:row>0</xdr:row>
      <xdr:rowOff>133351</xdr:rowOff>
    </xdr:from>
    <xdr:to>
      <xdr:col>16</xdr:col>
      <xdr:colOff>562841</xdr:colOff>
      <xdr:row>3</xdr:row>
      <xdr:rowOff>181939</xdr:rowOff>
    </xdr:to>
    <xdr:grpSp>
      <xdr:nvGrpSpPr>
        <xdr:cNvPr id="19" name="Agrupar 18">
          <a:extLst>
            <a:ext uri="{FF2B5EF4-FFF2-40B4-BE49-F238E27FC236}">
              <a16:creationId xmlns:a16="http://schemas.microsoft.com/office/drawing/2014/main" id="{1E282264-E5EC-CFDD-9142-8209E786DB71}"/>
            </a:ext>
          </a:extLst>
        </xdr:cNvPr>
        <xdr:cNvGrpSpPr/>
      </xdr:nvGrpSpPr>
      <xdr:grpSpPr>
        <a:xfrm>
          <a:off x="1517073" y="133351"/>
          <a:ext cx="8743950" cy="633077"/>
          <a:chOff x="1524000" y="133351"/>
          <a:chExt cx="7000875" cy="666749"/>
        </a:xfrm>
        <a:noFill/>
      </xdr:grpSpPr>
      <xdr:sp macro="" textlink="">
        <xdr:nvSpPr>
          <xdr:cNvPr id="2" name="Retângulo: Cantos Arredondados 1">
            <a:extLst>
              <a:ext uri="{FF2B5EF4-FFF2-40B4-BE49-F238E27FC236}">
                <a16:creationId xmlns:a16="http://schemas.microsoft.com/office/drawing/2014/main" id="{06EF0E4E-1897-A99F-3628-8013EA15C8A2}"/>
              </a:ext>
            </a:extLst>
          </xdr:cNvPr>
          <xdr:cNvSpPr/>
        </xdr:nvSpPr>
        <xdr:spPr>
          <a:xfrm>
            <a:off x="1524000" y="133351"/>
            <a:ext cx="7000875" cy="666749"/>
          </a:xfrm>
          <a:prstGeom prst="roundRect">
            <a:avLst/>
          </a:prstGeom>
          <a:solidFill>
            <a:schemeClr val="bg1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2000" b="1">
                <a:solidFill>
                  <a:schemeClr val="accent1">
                    <a:lumMod val="75000"/>
                  </a:schemeClr>
                </a:solidFill>
              </a:rPr>
              <a:t>Consolidado Anual 2025</a:t>
            </a:r>
          </a:p>
        </xdr:txBody>
      </xdr:sp>
      <xdr:sp macro="" textlink="">
        <xdr:nvSpPr>
          <xdr:cNvPr id="18" name="CaixaDeTexto 17">
            <a:extLst>
              <a:ext uri="{FF2B5EF4-FFF2-40B4-BE49-F238E27FC236}">
                <a16:creationId xmlns:a16="http://schemas.microsoft.com/office/drawing/2014/main" id="{A8E7B6B3-76AC-4B7C-EECF-8F65F12EAC49}"/>
              </a:ext>
            </a:extLst>
          </xdr:cNvPr>
          <xdr:cNvSpPr txBox="1"/>
        </xdr:nvSpPr>
        <xdr:spPr>
          <a:xfrm>
            <a:off x="1638300" y="514350"/>
            <a:ext cx="2168979" cy="256737"/>
          </a:xfrm>
          <a:prstGeom prst="rect">
            <a:avLst/>
          </a:prstGeom>
          <a:grp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050">
                <a:solidFill>
                  <a:schemeClr val="bg1">
                    <a:lumMod val="75000"/>
                  </a:schemeClr>
                </a:solidFill>
              </a:rPr>
              <a:t>Consolidado de</a:t>
            </a:r>
            <a:r>
              <a:rPr lang="pt-BR" sz="1050" baseline="0">
                <a:solidFill>
                  <a:schemeClr val="bg1">
                    <a:lumMod val="75000"/>
                  </a:schemeClr>
                </a:solidFill>
              </a:rPr>
              <a:t> todos os clientes e custos</a:t>
            </a:r>
            <a:endParaRPr lang="pt-BR" sz="1050">
              <a:solidFill>
                <a:schemeClr val="bg1">
                  <a:lumMod val="75000"/>
                </a:schemeClr>
              </a:solidFill>
            </a:endParaRPr>
          </a:p>
        </xdr:txBody>
      </xdr:sp>
    </xdr:grpSp>
    <xdr:clientData/>
  </xdr:twoCellAnchor>
  <xdr:twoCellAnchor>
    <xdr:from>
      <xdr:col>2</xdr:col>
      <xdr:colOff>266700</xdr:colOff>
      <xdr:row>13</xdr:row>
      <xdr:rowOff>169334</xdr:rowOff>
    </xdr:from>
    <xdr:to>
      <xdr:col>9</xdr:col>
      <xdr:colOff>74082</xdr:colOff>
      <xdr:row>24</xdr:row>
      <xdr:rowOff>31750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1145A825-9EAA-44E7-B6BF-EF9D9897F1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481</xdr:colOff>
      <xdr:row>4</xdr:row>
      <xdr:rowOff>114300</xdr:rowOff>
    </xdr:from>
    <xdr:to>
      <xdr:col>16</xdr:col>
      <xdr:colOff>552019</xdr:colOff>
      <xdr:row>13</xdr:row>
      <xdr:rowOff>0</xdr:rowOff>
    </xdr:to>
    <mc:AlternateContent xmlns:mc="http://schemas.openxmlformats.org/markup-compatibility/2006">
      <mc:Choice xmlns:tsle="http://schemas.microsoft.com/office/drawing/2012/timeslicer" Requires="tsle">
        <xdr:graphicFrame macro="">
          <xdr:nvGraphicFramePr>
            <xdr:cNvPr id="21" name="Data 3">
              <a:extLst>
                <a:ext uri="{FF2B5EF4-FFF2-40B4-BE49-F238E27FC236}">
                  <a16:creationId xmlns:a16="http://schemas.microsoft.com/office/drawing/2014/main" id="{2F9DC4AB-FEDE-4B6A-8684-5CD92725D75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xmlns:tsle="http://schemas.microsoft.com/office/drawing/2012/timeslicer" name="Data 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061845" y="893618"/>
              <a:ext cx="4188356" cy="163916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Linha do tempo: Funciona em Excel 2013 ou superior. Não mover ou redimensionar.</a:t>
              </a:r>
            </a:p>
          </xdr:txBody>
        </xdr:sp>
      </mc:Fallback>
    </mc:AlternateContent>
    <xdr:clientData/>
  </xdr:twoCellAnchor>
  <xdr:twoCellAnchor>
    <xdr:from>
      <xdr:col>9</xdr:col>
      <xdr:colOff>438150</xdr:colOff>
      <xdr:row>13</xdr:row>
      <xdr:rowOff>161925</xdr:rowOff>
    </xdr:from>
    <xdr:to>
      <xdr:col>16</xdr:col>
      <xdr:colOff>530369</xdr:colOff>
      <xdr:row>24</xdr:row>
      <xdr:rowOff>31750</xdr:rowOff>
    </xdr:to>
    <xdr:graphicFrame macro="">
      <xdr:nvGraphicFramePr>
        <xdr:cNvPr id="22" name="Gráfico 21">
          <a:extLst>
            <a:ext uri="{FF2B5EF4-FFF2-40B4-BE49-F238E27FC236}">
              <a16:creationId xmlns:a16="http://schemas.microsoft.com/office/drawing/2014/main" id="{32D9B3FB-348F-4DE8-8FBE-5AD0935B89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276225</xdr:colOff>
      <xdr:row>4</xdr:row>
      <xdr:rowOff>95250</xdr:rowOff>
    </xdr:from>
    <xdr:to>
      <xdr:col>9</xdr:col>
      <xdr:colOff>292245</xdr:colOff>
      <xdr:row>13</xdr:row>
      <xdr:rowOff>95251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7CFBBC7F-B1B1-0FC0-D00C-571DC6F257E2}"/>
            </a:ext>
          </a:extLst>
        </xdr:cNvPr>
        <xdr:cNvGrpSpPr/>
      </xdr:nvGrpSpPr>
      <xdr:grpSpPr>
        <a:xfrm>
          <a:off x="1488498" y="874568"/>
          <a:ext cx="4258974" cy="1753467"/>
          <a:chOff x="1488498" y="874568"/>
          <a:chExt cx="4030229" cy="1753467"/>
        </a:xfrm>
      </xdr:grpSpPr>
      <xdr:sp macro="" textlink="">
        <xdr:nvSpPr>
          <xdr:cNvPr id="3" name="Retângulo: Cantos Arredondados 2">
            <a:extLst>
              <a:ext uri="{FF2B5EF4-FFF2-40B4-BE49-F238E27FC236}">
                <a16:creationId xmlns:a16="http://schemas.microsoft.com/office/drawing/2014/main" id="{77E5AF54-46A6-6A39-A999-0C3B63B0A7CF}"/>
              </a:ext>
            </a:extLst>
          </xdr:cNvPr>
          <xdr:cNvSpPr/>
        </xdr:nvSpPr>
        <xdr:spPr>
          <a:xfrm>
            <a:off x="1488499" y="874569"/>
            <a:ext cx="4019646" cy="1753466"/>
          </a:xfrm>
          <a:prstGeom prst="roundRect">
            <a:avLst/>
          </a:prstGeom>
          <a:solidFill>
            <a:schemeClr val="bg1"/>
          </a:solidFill>
          <a:ln>
            <a:solidFill>
              <a:schemeClr val="accent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aphicFrame macro="">
        <xdr:nvGraphicFramePr>
          <xdr:cNvPr id="15" name="Gráfico 14">
            <a:extLst>
              <a:ext uri="{FF2B5EF4-FFF2-40B4-BE49-F238E27FC236}">
                <a16:creationId xmlns:a16="http://schemas.microsoft.com/office/drawing/2014/main" id="{9BCA3FA3-E5B8-4086-B02C-AB8EDDFA399C}"/>
              </a:ext>
            </a:extLst>
          </xdr:cNvPr>
          <xdr:cNvGraphicFramePr>
            <a:graphicFrameLocks/>
          </xdr:cNvGraphicFramePr>
        </xdr:nvGraphicFramePr>
        <xdr:xfrm>
          <a:off x="1488498" y="874568"/>
          <a:ext cx="4030229" cy="174394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pSp>
        <xdr:nvGrpSpPr>
          <xdr:cNvPr id="4" name="Agrupar 3">
            <a:extLst>
              <a:ext uri="{FF2B5EF4-FFF2-40B4-BE49-F238E27FC236}">
                <a16:creationId xmlns:a16="http://schemas.microsoft.com/office/drawing/2014/main" id="{D417EA5D-0EE1-4A2A-9A27-ABCB8C6B91FF}"/>
              </a:ext>
            </a:extLst>
          </xdr:cNvPr>
          <xdr:cNvGrpSpPr/>
        </xdr:nvGrpSpPr>
        <xdr:grpSpPr>
          <a:xfrm>
            <a:off x="1731818" y="2348779"/>
            <a:ext cx="3574677" cy="268432"/>
            <a:chOff x="5936340" y="5757277"/>
            <a:chExt cx="3574677" cy="268432"/>
          </a:xfrm>
        </xdr:grpSpPr>
        <xdr:sp macro="" textlink="">
          <xdr:nvSpPr>
            <xdr:cNvPr id="5" name="CaixaDeTexto 4">
              <a:extLst>
                <a:ext uri="{FF2B5EF4-FFF2-40B4-BE49-F238E27FC236}">
                  <a16:creationId xmlns:a16="http://schemas.microsoft.com/office/drawing/2014/main" id="{4058BE1F-E02A-04ED-B12E-302F004BF85C}"/>
                </a:ext>
              </a:extLst>
            </xdr:cNvPr>
            <xdr:cNvSpPr txBox="1"/>
          </xdr:nvSpPr>
          <xdr:spPr>
            <a:xfrm>
              <a:off x="5936340" y="5757277"/>
              <a:ext cx="3574677" cy="26843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pt-BR" sz="9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Lucro Total	</a:t>
              </a:r>
              <a:r>
                <a:rPr lang="pt-BR" sz="900" baseline="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 Total Custos	Custos Funcionários           Custos Total</a:t>
              </a:r>
              <a:endParaRPr lang="pt-BR" sz="900">
                <a:solidFill>
                  <a:schemeClr val="tx1">
                    <a:lumMod val="65000"/>
                    <a:lumOff val="35000"/>
                  </a:schemeClr>
                </a:solidFill>
              </a:endParaRPr>
            </a:p>
          </xdr:txBody>
        </xdr:sp>
        <xdr:sp macro="" textlink="">
          <xdr:nvSpPr>
            <xdr:cNvPr id="6" name="Retângulo 5">
              <a:extLst>
                <a:ext uri="{FF2B5EF4-FFF2-40B4-BE49-F238E27FC236}">
                  <a16:creationId xmlns:a16="http://schemas.microsoft.com/office/drawing/2014/main" id="{E78D2F6F-9F8E-E8BC-D66A-F80D927A6492}"/>
                </a:ext>
              </a:extLst>
            </xdr:cNvPr>
            <xdr:cNvSpPr/>
          </xdr:nvSpPr>
          <xdr:spPr>
            <a:xfrm>
              <a:off x="5973303" y="5854489"/>
              <a:ext cx="45719" cy="48986"/>
            </a:xfrm>
            <a:prstGeom prst="rect">
              <a:avLst/>
            </a:prstGeom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8" name="Retângulo 7">
              <a:extLst>
                <a:ext uri="{FF2B5EF4-FFF2-40B4-BE49-F238E27FC236}">
                  <a16:creationId xmlns:a16="http://schemas.microsoft.com/office/drawing/2014/main" id="{1F214F21-87B2-D14C-87BF-80267D99A6FB}"/>
                </a:ext>
              </a:extLst>
            </xdr:cNvPr>
            <xdr:cNvSpPr/>
          </xdr:nvSpPr>
          <xdr:spPr>
            <a:xfrm>
              <a:off x="6822748" y="5843957"/>
              <a:ext cx="45719" cy="48986"/>
            </a:xfrm>
            <a:prstGeom prst="rect">
              <a:avLst/>
            </a:prstGeom>
            <a:solidFill>
              <a:schemeClr val="bg2">
                <a:lumMod val="50000"/>
              </a:schemeClr>
            </a:solidFill>
            <a:ln>
              <a:solidFill>
                <a:schemeClr val="bg2">
                  <a:lumMod val="50000"/>
                </a:scheme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2" name="Retângulo 11">
              <a:extLst>
                <a:ext uri="{FF2B5EF4-FFF2-40B4-BE49-F238E27FC236}">
                  <a16:creationId xmlns:a16="http://schemas.microsoft.com/office/drawing/2014/main" id="{45466EA8-0EDC-9D56-A96F-AE307F67667D}"/>
                </a:ext>
              </a:extLst>
            </xdr:cNvPr>
            <xdr:cNvSpPr/>
          </xdr:nvSpPr>
          <xdr:spPr>
            <a:xfrm>
              <a:off x="7753897" y="5855839"/>
              <a:ext cx="38489" cy="48986"/>
            </a:xfrm>
            <a:prstGeom prst="rect">
              <a:avLst/>
            </a:prstGeom>
            <a:solidFill>
              <a:schemeClr val="accent5">
                <a:lumMod val="50000"/>
              </a:schemeClr>
            </a:solidFill>
            <a:ln>
              <a:solidFill>
                <a:schemeClr val="accent5">
                  <a:lumMod val="50000"/>
                </a:scheme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3" name="Retângulo 12">
              <a:extLst>
                <a:ext uri="{FF2B5EF4-FFF2-40B4-BE49-F238E27FC236}">
                  <a16:creationId xmlns:a16="http://schemas.microsoft.com/office/drawing/2014/main" id="{E55C12CE-C246-265D-2C23-73743854ED28}"/>
                </a:ext>
              </a:extLst>
            </xdr:cNvPr>
            <xdr:cNvSpPr/>
          </xdr:nvSpPr>
          <xdr:spPr>
            <a:xfrm>
              <a:off x="8936951" y="5845307"/>
              <a:ext cx="45719" cy="48986"/>
            </a:xfrm>
            <a:prstGeom prst="rect">
              <a:avLst/>
            </a:prstGeom>
            <a:solidFill>
              <a:srgbClr val="FFC000"/>
            </a:solidFill>
            <a:ln>
              <a:solidFill>
                <a:srgbClr val="FFC000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85725</xdr:colOff>
      <xdr:row>15</xdr:row>
      <xdr:rowOff>47625</xdr:rowOff>
    </xdr:from>
    <xdr:to>
      <xdr:col>0</xdr:col>
      <xdr:colOff>1076325</xdr:colOff>
      <xdr:row>16</xdr:row>
      <xdr:rowOff>114300</xdr:rowOff>
    </xdr:to>
    <xdr:sp macro="[0]!Macro1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C059D57-0C81-FC8E-6F7B-74159065DB25}"/>
            </a:ext>
          </a:extLst>
        </xdr:cNvPr>
        <xdr:cNvSpPr/>
      </xdr:nvSpPr>
      <xdr:spPr>
        <a:xfrm>
          <a:off x="85725" y="2914650"/>
          <a:ext cx="990600" cy="257175"/>
        </a:xfrm>
        <a:prstGeom prst="roundRect">
          <a:avLst/>
        </a:prstGeom>
        <a:solidFill>
          <a:schemeClr val="accent5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/>
            <a:t>Lançar</a:t>
          </a:r>
        </a:p>
      </xdr:txBody>
    </xdr:sp>
    <xdr:clientData/>
  </xdr:twoCellAnchor>
  <xdr:twoCellAnchor>
    <xdr:from>
      <xdr:col>0</xdr:col>
      <xdr:colOff>200025</xdr:colOff>
      <xdr:row>19</xdr:row>
      <xdr:rowOff>114300</xdr:rowOff>
    </xdr:from>
    <xdr:to>
      <xdr:col>0</xdr:col>
      <xdr:colOff>838200</xdr:colOff>
      <xdr:row>20</xdr:row>
      <xdr:rowOff>180975</xdr:rowOff>
    </xdr:to>
    <xdr:sp macro="[0]!LimparDadosSemanal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608A12C3-DF13-BBB7-C86B-4B0C8D21356E}"/>
            </a:ext>
          </a:extLst>
        </xdr:cNvPr>
        <xdr:cNvSpPr/>
      </xdr:nvSpPr>
      <xdr:spPr>
        <a:xfrm>
          <a:off x="200025" y="3743325"/>
          <a:ext cx="638175" cy="257175"/>
        </a:xfrm>
        <a:prstGeom prst="roundRect">
          <a:avLst/>
        </a:prstGeom>
        <a:solidFill>
          <a:srgbClr val="FF000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pt-BR" sz="1100" b="1">
              <a:solidFill>
                <a:schemeClr val="lt1"/>
              </a:solidFill>
              <a:latin typeface="+mn-lt"/>
              <a:ea typeface="+mn-ea"/>
              <a:cs typeface="+mn-cs"/>
            </a:rPr>
            <a:t>Limpar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833438</xdr:colOff>
      <xdr:row>17</xdr:row>
      <xdr:rowOff>38099</xdr:rowOff>
    </xdr:from>
    <xdr:to>
      <xdr:col>10</xdr:col>
      <xdr:colOff>495300</xdr:colOff>
      <xdr:row>24</xdr:row>
      <xdr:rowOff>142874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A5012147-A84E-3E2C-58B5-24E98A0BDA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271462</xdr:colOff>
      <xdr:row>17</xdr:row>
      <xdr:rowOff>19049</xdr:rowOff>
    </xdr:from>
    <xdr:to>
      <xdr:col>7</xdr:col>
      <xdr:colOff>266700</xdr:colOff>
      <xdr:row>28</xdr:row>
      <xdr:rowOff>14286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B52CA5FB-D422-37B9-94F1-2781B44949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1014412</xdr:colOff>
      <xdr:row>15</xdr:row>
      <xdr:rowOff>14287</xdr:rowOff>
    </xdr:from>
    <xdr:to>
      <xdr:col>14</xdr:col>
      <xdr:colOff>452437</xdr:colOff>
      <xdr:row>29</xdr:row>
      <xdr:rowOff>90487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47CB3ADD-8821-9F3D-FB67-ADEB7C8BC3C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</xdr:col>
      <xdr:colOff>476249</xdr:colOff>
      <xdr:row>2</xdr:row>
      <xdr:rowOff>9525</xdr:rowOff>
    </xdr:from>
    <xdr:to>
      <xdr:col>7</xdr:col>
      <xdr:colOff>582757</xdr:colOff>
      <xdr:row>7</xdr:row>
      <xdr:rowOff>152399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13" name="Data">
              <a:extLst>
                <a:ext uri="{FF2B5EF4-FFF2-40B4-BE49-F238E27FC236}">
                  <a16:creationId xmlns:a16="http://schemas.microsoft.com/office/drawing/2014/main" id="{E6C77219-B71A-A404-2066-D09CD71B0E0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14799" y="390525"/>
              <a:ext cx="3028951" cy="109537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Linha do tempo: Funciona em Excel 2013 ou superior. Não mover ou redimensionar.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238125</xdr:colOff>
      <xdr:row>10</xdr:row>
      <xdr:rowOff>38100</xdr:rowOff>
    </xdr:from>
    <xdr:to>
      <xdr:col>4</xdr:col>
      <xdr:colOff>274325</xdr:colOff>
      <xdr:row>17</xdr:row>
      <xdr:rowOff>76200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2" name="Data 1">
              <a:extLst>
                <a:ext uri="{FF2B5EF4-FFF2-40B4-BE49-F238E27FC236}">
                  <a16:creationId xmlns:a16="http://schemas.microsoft.com/office/drawing/2014/main" id="{E02C0C77-9B67-0DC9-E2AD-0D72CCB20C2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38125" y="1943100"/>
              <a:ext cx="332855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Linha do tempo: Funciona em Excel 2013 ou superior. Não mover ou redimensionar.</a:t>
              </a:r>
            </a:p>
          </xdr:txBody>
        </xdr:sp>
      </mc:Fallback>
    </mc:AlternateContent>
    <xdr:clientData/>
  </xdr:twoCellAnchor>
  <xdr:twoCellAnchor>
    <xdr:from>
      <xdr:col>0</xdr:col>
      <xdr:colOff>76200</xdr:colOff>
      <xdr:row>16</xdr:row>
      <xdr:rowOff>100012</xdr:rowOff>
    </xdr:from>
    <xdr:to>
      <xdr:col>5</xdr:col>
      <xdr:colOff>152400</xdr:colOff>
      <xdr:row>30</xdr:row>
      <xdr:rowOff>176212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17503D7-424D-384A-5C71-6E64E1605C2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286407</xdr:colOff>
      <xdr:row>18</xdr:row>
      <xdr:rowOff>180482</xdr:rowOff>
    </xdr:from>
    <xdr:to>
      <xdr:col>14</xdr:col>
      <xdr:colOff>1786759</xdr:colOff>
      <xdr:row>33</xdr:row>
      <xdr:rowOff>66181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CD5CF1CE-3DEF-C6CA-420A-7215F5A67B4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1036582</xdr:colOff>
      <xdr:row>13</xdr:row>
      <xdr:rowOff>97384</xdr:rowOff>
    </xdr:from>
    <xdr:to>
      <xdr:col>8</xdr:col>
      <xdr:colOff>1737820</xdr:colOff>
      <xdr:row>27</xdr:row>
      <xdr:rowOff>173584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A720A9CF-1E6D-C18E-0B29-81084594BF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479075</xdr:colOff>
      <xdr:row>29</xdr:row>
      <xdr:rowOff>53483</xdr:rowOff>
    </xdr:from>
    <xdr:to>
      <xdr:col>8</xdr:col>
      <xdr:colOff>535105</xdr:colOff>
      <xdr:row>30</xdr:row>
      <xdr:rowOff>131415</xdr:rowOff>
    </xdr:to>
    <xdr:grpSp>
      <xdr:nvGrpSpPr>
        <xdr:cNvPr id="11" name="Agrupar 10">
          <a:extLst>
            <a:ext uri="{FF2B5EF4-FFF2-40B4-BE49-F238E27FC236}">
              <a16:creationId xmlns:a16="http://schemas.microsoft.com/office/drawing/2014/main" id="{0D5F3BD0-EBA1-3A1D-BB1C-36F8BEFE64C3}"/>
            </a:ext>
          </a:extLst>
        </xdr:cNvPr>
        <xdr:cNvGrpSpPr/>
      </xdr:nvGrpSpPr>
      <xdr:grpSpPr>
        <a:xfrm>
          <a:off x="4961428" y="5577983"/>
          <a:ext cx="3518648" cy="268432"/>
          <a:chOff x="5936340" y="5757277"/>
          <a:chExt cx="3574677" cy="268432"/>
        </a:xfrm>
      </xdr:grpSpPr>
      <xdr:sp macro="" textlink="">
        <xdr:nvSpPr>
          <xdr:cNvPr id="3" name="CaixaDeTexto 2">
            <a:extLst>
              <a:ext uri="{FF2B5EF4-FFF2-40B4-BE49-F238E27FC236}">
                <a16:creationId xmlns:a16="http://schemas.microsoft.com/office/drawing/2014/main" id="{DBCA199B-02D6-191A-953A-C0712539718E}"/>
              </a:ext>
            </a:extLst>
          </xdr:cNvPr>
          <xdr:cNvSpPr txBox="1"/>
        </xdr:nvSpPr>
        <xdr:spPr>
          <a:xfrm>
            <a:off x="5936340" y="5757277"/>
            <a:ext cx="3574677" cy="268432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900">
                <a:solidFill>
                  <a:schemeClr val="tx1">
                    <a:lumMod val="65000"/>
                    <a:lumOff val="35000"/>
                  </a:schemeClr>
                </a:solidFill>
              </a:rPr>
              <a:t>Lucro Total	</a:t>
            </a:r>
            <a:r>
              <a:rPr lang="pt-BR" sz="900" baseline="0">
                <a:solidFill>
                  <a:schemeClr val="tx1">
                    <a:lumMod val="65000"/>
                    <a:lumOff val="35000"/>
                  </a:schemeClr>
                </a:solidFill>
              </a:rPr>
              <a:t> Total Custos	Custos Funcionários           Custos Total</a:t>
            </a:r>
            <a:endParaRPr lang="pt-BR" sz="900">
              <a:solidFill>
                <a:schemeClr val="tx1">
                  <a:lumMod val="65000"/>
                  <a:lumOff val="35000"/>
                </a:schemeClr>
              </a:solidFill>
            </a:endParaRPr>
          </a:p>
        </xdr:txBody>
      </xdr:sp>
      <xdr:sp macro="" textlink="">
        <xdr:nvSpPr>
          <xdr:cNvPr id="4" name="Retângulo 3">
            <a:extLst>
              <a:ext uri="{FF2B5EF4-FFF2-40B4-BE49-F238E27FC236}">
                <a16:creationId xmlns:a16="http://schemas.microsoft.com/office/drawing/2014/main" id="{65361FB1-A761-3612-9671-5E7E8839B9FF}"/>
              </a:ext>
            </a:extLst>
          </xdr:cNvPr>
          <xdr:cNvSpPr/>
        </xdr:nvSpPr>
        <xdr:spPr>
          <a:xfrm>
            <a:off x="5973303" y="5854489"/>
            <a:ext cx="45719" cy="48986"/>
          </a:xfrm>
          <a:prstGeom prst="rect">
            <a:avLst/>
          </a:prstGeom>
          <a:solidFill>
            <a:schemeClr val="accent1">
              <a:lumMod val="60000"/>
              <a:lumOff val="40000"/>
            </a:schemeClr>
          </a:solidFill>
          <a:ln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E6AB2753-2FC6-40D8-8986-F051A04142D1}"/>
              </a:ext>
            </a:extLst>
          </xdr:cNvPr>
          <xdr:cNvSpPr/>
        </xdr:nvSpPr>
        <xdr:spPr>
          <a:xfrm>
            <a:off x="6822748" y="5843957"/>
            <a:ext cx="45719" cy="48986"/>
          </a:xfrm>
          <a:prstGeom prst="rect">
            <a:avLst/>
          </a:prstGeom>
          <a:solidFill>
            <a:schemeClr val="bg2">
              <a:lumMod val="50000"/>
            </a:schemeClr>
          </a:solidFill>
          <a:ln>
            <a:solidFill>
              <a:schemeClr val="bg2">
                <a:lumMod val="5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9" name="Retângulo 8">
            <a:extLst>
              <a:ext uri="{FF2B5EF4-FFF2-40B4-BE49-F238E27FC236}">
                <a16:creationId xmlns:a16="http://schemas.microsoft.com/office/drawing/2014/main" id="{4B148506-480C-4800-BDC8-C6687339C64D}"/>
              </a:ext>
            </a:extLst>
          </xdr:cNvPr>
          <xdr:cNvSpPr/>
        </xdr:nvSpPr>
        <xdr:spPr>
          <a:xfrm>
            <a:off x="7753897" y="5855839"/>
            <a:ext cx="38489" cy="48986"/>
          </a:xfrm>
          <a:prstGeom prst="rect">
            <a:avLst/>
          </a:prstGeom>
          <a:solidFill>
            <a:schemeClr val="accent5">
              <a:lumMod val="50000"/>
            </a:schemeClr>
          </a:solidFill>
          <a:ln>
            <a:solidFill>
              <a:schemeClr val="accent5">
                <a:lumMod val="5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0" name="Retângulo 9">
            <a:extLst>
              <a:ext uri="{FF2B5EF4-FFF2-40B4-BE49-F238E27FC236}">
                <a16:creationId xmlns:a16="http://schemas.microsoft.com/office/drawing/2014/main" id="{6F99F466-D05C-42C9-9655-DA881732D33B}"/>
              </a:ext>
            </a:extLst>
          </xdr:cNvPr>
          <xdr:cNvSpPr/>
        </xdr:nvSpPr>
        <xdr:spPr>
          <a:xfrm>
            <a:off x="8936951" y="5845307"/>
            <a:ext cx="45719" cy="48986"/>
          </a:xfrm>
          <a:prstGeom prst="rect">
            <a:avLst/>
          </a:prstGeom>
          <a:solidFill>
            <a:srgbClr val="FFC000"/>
          </a:solidFill>
          <a:ln>
            <a:solidFill>
              <a:srgbClr val="FFC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38099</xdr:colOff>
      <xdr:row>0</xdr:row>
      <xdr:rowOff>66676</xdr:rowOff>
    </xdr:from>
    <xdr:to>
      <xdr:col>3</xdr:col>
      <xdr:colOff>114300</xdr:colOff>
      <xdr:row>2</xdr:row>
      <xdr:rowOff>114300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5302F136-3D40-2033-7A15-AC45E35DAC68}"/>
            </a:ext>
          </a:extLst>
        </xdr:cNvPr>
        <xdr:cNvSpPr/>
      </xdr:nvSpPr>
      <xdr:spPr>
        <a:xfrm>
          <a:off x="38099" y="66676"/>
          <a:ext cx="2447926" cy="428624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400" b="1"/>
            <a:t>Base</a:t>
          </a:r>
          <a:r>
            <a:rPr lang="pt-BR" sz="1400" b="1" baseline="0"/>
            <a:t> para filtros Incremental</a:t>
          </a:r>
          <a:endParaRPr lang="pt-BR" sz="1400" b="1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onteiro De Oliveira, Elvis" refreshedDate="45756.329763657406" createdVersion="8" refreshedVersion="8" minRefreshableVersion="3" recordCount="131" xr:uid="{D9E468ED-1259-43C9-B139-12C7E2FA6977}">
  <cacheSource type="worksheet">
    <worksheetSource ref="B3:R1048576" sheet="Anual"/>
  </cacheSource>
  <cacheFields count="20">
    <cacheField name="Semana" numFmtId="0">
      <sharedItems containsString="0" containsBlank="1" containsNumber="1" containsInteger="1" minValue="1" maxValue="4"/>
    </cacheField>
    <cacheField name="Data" numFmtId="0">
      <sharedItems containsNonDate="0" containsDate="1" containsString="0" containsBlank="1" minDate="2025-03-31T00:00:00" maxDate="2025-10-14T00:00:00" count="98">
        <d v="2025-03-31T00:00:00"/>
        <d v="2025-04-01T00:00:00"/>
        <d v="2025-04-02T00:00:00"/>
        <d v="2025-04-03T00:00:00"/>
        <d v="2025-04-04T00:00:00"/>
        <d v="2025-04-05T00:00:00"/>
        <d v="2025-04-06T00:00:00"/>
        <d v="2025-04-07T00:00:00"/>
        <d v="2025-04-08T00:00:00"/>
        <d v="2025-04-09T00:00:00"/>
        <d v="2025-04-10T00:00:00"/>
        <d v="2025-04-11T00:00:00"/>
        <d v="2025-04-12T00:00:00"/>
        <d v="2025-04-13T00:00:00"/>
        <d v="2025-04-14T00:00:00"/>
        <d v="2025-04-15T00:00:00"/>
        <d v="2025-04-16T00:00:00"/>
        <d v="2025-04-17T00:00:00"/>
        <d v="2025-04-18T00:00:00"/>
        <d v="2025-04-19T00:00:00"/>
        <d v="2025-05-20T00:00:00"/>
        <d v="2025-05-21T00:00:00"/>
        <d v="2025-05-22T00:00:00"/>
        <d v="2025-05-23T00:00:00"/>
        <d v="2025-05-24T00:00:00"/>
        <d v="2025-05-25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7T00:00:00"/>
        <d v="2025-06-08T00:00:00"/>
        <d v="2025-06-09T00:00:00"/>
        <d v="2025-06-10T00:00:00"/>
        <d v="2025-06-11T00:00:00"/>
        <d v="2025-06-12T00:00:00"/>
        <d v="2025-06-13T00:00:00"/>
        <d v="2025-07-01T00:00:00"/>
        <d v="2025-07-02T00:00:00"/>
        <d v="2025-07-03T00:00:00"/>
        <d v="2025-07-04T00:00:00"/>
        <d v="2025-07-05T00:00:00"/>
        <d v="2025-07-06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8-01T00:00:00"/>
        <d v="2025-08-02T00:00:00"/>
        <d v="2025-08-03T00:00:00"/>
        <d v="2025-08-04T00:00:00"/>
        <d v="2025-08-05T00:00:00"/>
        <d v="2025-08-06T00:00:00"/>
        <d v="2025-08-07T00:00:00"/>
        <d v="2025-08-08T00:00:00"/>
        <d v="2025-08-09T00:00:00"/>
        <d v="2025-08-10T00:00:00"/>
        <d v="2025-08-11T00:00:00"/>
        <d v="2025-08-12T00:00:00"/>
        <d v="2025-08-13T00:00:00"/>
        <d v="2025-09-01T00:00:00"/>
        <d v="2025-09-02T00:00:00"/>
        <d v="2025-09-03T00:00:00"/>
        <d v="2025-09-04T00:00:00"/>
        <d v="2025-09-05T00:00:00"/>
        <d v="2025-09-06T00:00:00"/>
        <d v="2025-09-07T00:00:00"/>
        <d v="2025-09-08T00:00:00"/>
        <d v="2025-09-09T00:00:00"/>
        <d v="2025-09-10T00:00:00"/>
        <d v="2025-09-11T00:00:00"/>
        <d v="2025-09-12T00:00:00"/>
        <d v="2025-09-13T00:00:00"/>
        <d v="2025-10-01T00:00:00"/>
        <d v="2025-10-02T00:00:00"/>
        <d v="2025-10-03T00:00:00"/>
        <d v="2025-10-04T00:00:00"/>
        <d v="2025-10-05T00:00:00"/>
        <d v="2025-10-06T00:00:00"/>
        <d v="2025-10-07T00:00:00"/>
        <d v="2025-10-08T00:00:00"/>
        <d v="2025-10-09T00:00:00"/>
        <d v="2025-10-10T00:00:00"/>
        <d v="2025-10-11T00:00:00"/>
        <d v="2025-10-12T00:00:00"/>
        <d v="2025-10-13T00:00:00"/>
        <m/>
      </sharedItems>
      <fieldGroup par="18"/>
    </cacheField>
    <cacheField name="Funcionario" numFmtId="0">
      <sharedItems containsBlank="1"/>
    </cacheField>
    <cacheField name="Qtde Horas " numFmtId="0">
      <sharedItems containsString="0" containsBlank="1" containsNumber="1" minValue="1" maxValue="36"/>
    </cacheField>
    <cacheField name="Tipo Pgto" numFmtId="0">
      <sharedItems containsBlank="1"/>
    </cacheField>
    <cacheField name="Valor hora" numFmtId="0">
      <sharedItems containsString="0" containsBlank="1" containsNumber="1" containsInteger="1" minValue="28" maxValue="28"/>
    </cacheField>
    <cacheField name="Pgto Funcionario" numFmtId="0">
      <sharedItems containsString="0" containsBlank="1" containsNumber="1" minValue="28" maxValue="1008"/>
    </cacheField>
    <cacheField name="Custo Combustível" numFmtId="0">
      <sharedItems containsString="0" containsBlank="1" containsNumber="1" containsInteger="1" minValue="10" maxValue="50"/>
    </cacheField>
    <cacheField name="Custo Pedágio" numFmtId="0">
      <sharedItems containsString="0" containsBlank="1" containsNumber="1" minValue="1.5" maxValue="78"/>
    </cacheField>
    <cacheField name="Custo Produto" numFmtId="0">
      <sharedItems containsString="0" containsBlank="1" containsNumber="1" minValue="0.25" maxValue="60"/>
    </cacheField>
    <cacheField name="Custo Extras" numFmtId="0">
      <sharedItems containsString="0" containsBlank="1" containsNumber="1" containsInteger="1" minValue="0" maxValue="15"/>
    </cacheField>
    <cacheField name="Custos Tot" numFmtId="0">
      <sharedItems containsString="0" containsBlank="1" containsNumber="1" minValue="0" maxValue="120"/>
    </cacheField>
    <cacheField name="Cliente" numFmtId="0">
      <sharedItems containsBlank="1" count="12">
        <s v="Pam"/>
        <s v="Joao"/>
        <s v="Maria"/>
        <s v="Robert"/>
        <s v="Denis"/>
        <s v="João da silva "/>
        <s v="Paula Pereira "/>
        <s v="Joao J"/>
        <s v="Sofia Martins"/>
        <s v="João Henrique"/>
        <m/>
        <s v="Mariana Ribeiro"/>
      </sharedItems>
    </cacheField>
    <cacheField name="Tipo Pgto2" numFmtId="0">
      <sharedItems containsBlank="1"/>
    </cacheField>
    <cacheField name="Pgto" numFmtId="0">
      <sharedItems containsString="0" containsBlank="1" containsNumber="1" containsInteger="1" minValue="50" maxValue="2800"/>
    </cacheField>
    <cacheField name="Tipo Pgto3" numFmtId="0">
      <sharedItems containsBlank="1"/>
    </cacheField>
    <cacheField name="Pgto2" numFmtId="0">
      <sharedItems containsBlank="1"/>
    </cacheField>
    <cacheField name="Dias (Data)" numFmtId="0" databaseField="0">
      <fieldGroup base="1">
        <rangePr groupBy="days" startDate="2025-03-31T00:00:00" endDate="2025-10-14T00:00:00"/>
        <groupItems count="368">
          <s v="&lt;31/03/2025"/>
          <s v="01/jan"/>
          <s v="02/jan"/>
          <s v="03/jan"/>
          <s v="04/jan"/>
          <s v="05/jan"/>
          <s v="06/jan"/>
          <s v="07/jan"/>
          <s v="08/jan"/>
          <s v="09/jan"/>
          <s v="10/jan"/>
          <s v="11/jan"/>
          <s v="12/jan"/>
          <s v="13/jan"/>
          <s v="14/jan"/>
          <s v="15/jan"/>
          <s v="16/jan"/>
          <s v="17/jan"/>
          <s v="18/jan"/>
          <s v="19/jan"/>
          <s v="20/jan"/>
          <s v="21/jan"/>
          <s v="22/jan"/>
          <s v="23/jan"/>
          <s v="24/jan"/>
          <s v="25/jan"/>
          <s v="26/jan"/>
          <s v="27/jan"/>
          <s v="28/jan"/>
          <s v="29/jan"/>
          <s v="30/jan"/>
          <s v="31/jan"/>
          <s v="01/fev"/>
          <s v="02/fev"/>
          <s v="03/fev"/>
          <s v="04/fev"/>
          <s v="05/fev"/>
          <s v="06/fev"/>
          <s v="07/fev"/>
          <s v="08/fev"/>
          <s v="09/fev"/>
          <s v="10/fev"/>
          <s v="11/fev"/>
          <s v="12/fev"/>
          <s v="13/fev"/>
          <s v="14/fev"/>
          <s v="15/fev"/>
          <s v="16/fev"/>
          <s v="17/fev"/>
          <s v="18/fev"/>
          <s v="19/fev"/>
          <s v="20/fev"/>
          <s v="21/fev"/>
          <s v="22/fev"/>
          <s v="23/fev"/>
          <s v="24/fev"/>
          <s v="25/fev"/>
          <s v="26/fev"/>
          <s v="27/fev"/>
          <s v="28/fev"/>
          <s v="29/fev"/>
          <s v="01/mar"/>
          <s v="02/mar"/>
          <s v="03/mar"/>
          <s v="04/mar"/>
          <s v="05/mar"/>
          <s v="06/mar"/>
          <s v="07/mar"/>
          <s v="08/mar"/>
          <s v="09/mar"/>
          <s v="10/mar"/>
          <s v="11/mar"/>
          <s v="12/mar"/>
          <s v="13/mar"/>
          <s v="14/mar"/>
          <s v="15/mar"/>
          <s v="16/mar"/>
          <s v="17/mar"/>
          <s v="18/mar"/>
          <s v="19/mar"/>
          <s v="20/mar"/>
          <s v="21/mar"/>
          <s v="22/mar"/>
          <s v="23/mar"/>
          <s v="24/mar"/>
          <s v="25/mar"/>
          <s v="26/mar"/>
          <s v="27/mar"/>
          <s v="28/mar"/>
          <s v="29/mar"/>
          <s v="30/mar"/>
          <s v="31/mar"/>
          <s v="01/abr"/>
          <s v="02/abr"/>
          <s v="03/abr"/>
          <s v="04/abr"/>
          <s v="05/abr"/>
          <s v="06/abr"/>
          <s v="07/abr"/>
          <s v="08/abr"/>
          <s v="09/abr"/>
          <s v="10/abr"/>
          <s v="11/abr"/>
          <s v="12/abr"/>
          <s v="13/abr"/>
          <s v="14/abr"/>
          <s v="15/abr"/>
          <s v="16/abr"/>
          <s v="17/abr"/>
          <s v="18/abr"/>
          <s v="19/abr"/>
          <s v="20/abr"/>
          <s v="21/abr"/>
          <s v="22/abr"/>
          <s v="23/abr"/>
          <s v="24/abr"/>
          <s v="25/abr"/>
          <s v="26/abr"/>
          <s v="27/abr"/>
          <s v="28/abr"/>
          <s v="29/abr"/>
          <s v="30/abr"/>
          <s v="01/mai"/>
          <s v="02/mai"/>
          <s v="03/mai"/>
          <s v="04/mai"/>
          <s v="05/mai"/>
          <s v="06/mai"/>
          <s v="07/mai"/>
          <s v="08/mai"/>
          <s v="09/mai"/>
          <s v="10/mai"/>
          <s v="11/mai"/>
          <s v="12/mai"/>
          <s v="13/mai"/>
          <s v="14/mai"/>
          <s v="15/mai"/>
          <s v="16/mai"/>
          <s v="17/mai"/>
          <s v="18/mai"/>
          <s v="19/mai"/>
          <s v="20/mai"/>
          <s v="21/mai"/>
          <s v="22/mai"/>
          <s v="23/mai"/>
          <s v="24/mai"/>
          <s v="25/mai"/>
          <s v="26/mai"/>
          <s v="27/mai"/>
          <s v="28/mai"/>
          <s v="29/mai"/>
          <s v="30/mai"/>
          <s v="31/mai"/>
          <s v="01/jun"/>
          <s v="02/jun"/>
          <s v="03/jun"/>
          <s v="04/jun"/>
          <s v="05/jun"/>
          <s v="06/jun"/>
          <s v="07/jun"/>
          <s v="08/jun"/>
          <s v="09/jun"/>
          <s v="10/jun"/>
          <s v="11/jun"/>
          <s v="12/jun"/>
          <s v="13/jun"/>
          <s v="14/jun"/>
          <s v="15/jun"/>
          <s v="16/jun"/>
          <s v="17/jun"/>
          <s v="18/jun"/>
          <s v="19/jun"/>
          <s v="20/jun"/>
          <s v="21/jun"/>
          <s v="22/jun"/>
          <s v="23/jun"/>
          <s v="24/jun"/>
          <s v="25/jun"/>
          <s v="26/jun"/>
          <s v="27/jun"/>
          <s v="28/jun"/>
          <s v="29/jun"/>
          <s v="30/jun"/>
          <s v="01/jul"/>
          <s v="02/jul"/>
          <s v="03/jul"/>
          <s v="04/jul"/>
          <s v="05/jul"/>
          <s v="06/jul"/>
          <s v="07/jul"/>
          <s v="08/jul"/>
          <s v="09/jul"/>
          <s v="10/jul"/>
          <s v="11/jul"/>
          <s v="12/jul"/>
          <s v="13/jul"/>
          <s v="14/jul"/>
          <s v="15/jul"/>
          <s v="16/jul"/>
          <s v="17/jul"/>
          <s v="18/jul"/>
          <s v="19/jul"/>
          <s v="20/jul"/>
          <s v="21/jul"/>
          <s v="22/jul"/>
          <s v="23/jul"/>
          <s v="24/jul"/>
          <s v="25/jul"/>
          <s v="26/jul"/>
          <s v="27/jul"/>
          <s v="28/jul"/>
          <s v="29/jul"/>
          <s v="30/jul"/>
          <s v="31/jul"/>
          <s v="01/ago"/>
          <s v="02/ago"/>
          <s v="03/ago"/>
          <s v="04/ago"/>
          <s v="05/ago"/>
          <s v="06/ago"/>
          <s v="07/ago"/>
          <s v="08/ago"/>
          <s v="09/ago"/>
          <s v="10/ago"/>
          <s v="11/ago"/>
          <s v="12/ago"/>
          <s v="13/ago"/>
          <s v="14/ago"/>
          <s v="15/ago"/>
          <s v="16/ago"/>
          <s v="17/ago"/>
          <s v="18/ago"/>
          <s v="19/ago"/>
          <s v="20/ago"/>
          <s v="21/ago"/>
          <s v="22/ago"/>
          <s v="23/ago"/>
          <s v="24/ago"/>
          <s v="25/ago"/>
          <s v="26/ago"/>
          <s v="27/ago"/>
          <s v="28/ago"/>
          <s v="29/ago"/>
          <s v="30/ago"/>
          <s v="31/ago"/>
          <s v="01/set"/>
          <s v="02/set"/>
          <s v="03/set"/>
          <s v="04/set"/>
          <s v="05/set"/>
          <s v="06/set"/>
          <s v="07/set"/>
          <s v="08/set"/>
          <s v="09/set"/>
          <s v="10/set"/>
          <s v="11/set"/>
          <s v="12/set"/>
          <s v="13/set"/>
          <s v="14/set"/>
          <s v="15/set"/>
          <s v="16/set"/>
          <s v="17/set"/>
          <s v="18/set"/>
          <s v="19/set"/>
          <s v="20/set"/>
          <s v="21/set"/>
          <s v="22/set"/>
          <s v="23/set"/>
          <s v="24/set"/>
          <s v="25/set"/>
          <s v="26/set"/>
          <s v="27/set"/>
          <s v="28/set"/>
          <s v="29/set"/>
          <s v="30/set"/>
          <s v="01/out"/>
          <s v="02/out"/>
          <s v="03/out"/>
          <s v="04/out"/>
          <s v="05/out"/>
          <s v="06/out"/>
          <s v="07/out"/>
          <s v="08/out"/>
          <s v="09/out"/>
          <s v="10/out"/>
          <s v="11/out"/>
          <s v="12/out"/>
          <s v="13/out"/>
          <s v="14/out"/>
          <s v="15/out"/>
          <s v="16/out"/>
          <s v="17/out"/>
          <s v="18/out"/>
          <s v="19/out"/>
          <s v="20/out"/>
          <s v="21/out"/>
          <s v="22/out"/>
          <s v="23/out"/>
          <s v="24/out"/>
          <s v="25/out"/>
          <s v="26/out"/>
          <s v="27/out"/>
          <s v="28/out"/>
          <s v="29/out"/>
          <s v="30/out"/>
          <s v="31/out"/>
          <s v="01/nov"/>
          <s v="02/nov"/>
          <s v="03/nov"/>
          <s v="04/nov"/>
          <s v="05/nov"/>
          <s v="06/nov"/>
          <s v="07/nov"/>
          <s v="08/nov"/>
          <s v="09/nov"/>
          <s v="10/nov"/>
          <s v="11/nov"/>
          <s v="12/nov"/>
          <s v="13/nov"/>
          <s v="14/nov"/>
          <s v="15/nov"/>
          <s v="16/nov"/>
          <s v="17/nov"/>
          <s v="18/nov"/>
          <s v="19/nov"/>
          <s v="20/nov"/>
          <s v="21/nov"/>
          <s v="22/nov"/>
          <s v="23/nov"/>
          <s v="24/nov"/>
          <s v="25/nov"/>
          <s v="26/nov"/>
          <s v="27/nov"/>
          <s v="28/nov"/>
          <s v="29/nov"/>
          <s v="30/nov"/>
          <s v="01/dez"/>
          <s v="02/dez"/>
          <s v="03/dez"/>
          <s v="04/dez"/>
          <s v="05/dez"/>
          <s v="06/dez"/>
          <s v="07/dez"/>
          <s v="08/dez"/>
          <s v="09/dez"/>
          <s v="10/dez"/>
          <s v="11/dez"/>
          <s v="12/dez"/>
          <s v="13/dez"/>
          <s v="14/dez"/>
          <s v="15/dez"/>
          <s v="16/dez"/>
          <s v="17/dez"/>
          <s v="18/dez"/>
          <s v="19/dez"/>
          <s v="20/dez"/>
          <s v="21/dez"/>
          <s v="22/dez"/>
          <s v="23/dez"/>
          <s v="24/dez"/>
          <s v="25/dez"/>
          <s v="26/dez"/>
          <s v="27/dez"/>
          <s v="28/dez"/>
          <s v="29/dez"/>
          <s v="30/dez"/>
          <s v="31/dez"/>
          <s v="&gt;14/10/2025"/>
        </groupItems>
      </fieldGroup>
    </cacheField>
    <cacheField name="Meses (Data)" numFmtId="0" databaseField="0">
      <fieldGroup base="1">
        <rangePr groupBy="months" startDate="2025-03-31T00:00:00" endDate="2025-10-14T00:00:00"/>
        <groupItems count="14">
          <s v="&lt;31/03/2025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14/10/2025"/>
        </groupItems>
      </fieldGroup>
    </cacheField>
    <cacheField name="Lucro Real" numFmtId="0" formula="Pgto-'Custos Tot'-'Pgto Funcionario'" databaseField="0"/>
  </cacheFields>
  <extLst>
    <ext xmlns:x14="http://schemas.microsoft.com/office/spreadsheetml/2009/9/main" uri="{725AE2AE-9491-48be-B2B4-4EB974FC3084}">
      <x14:pivotCacheDefinition pivotCacheId="1048188393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onteiro De Oliveira, Elvis" refreshedDate="45756.329764351853" createdVersion="8" refreshedVersion="8" minRefreshableVersion="3" recordCount="131" xr:uid="{08496F8A-1F63-47D4-8B78-D5ED154BEB84}">
  <cacheSource type="worksheet">
    <worksheetSource ref="B3:R400" sheet="Anual"/>
  </cacheSource>
  <cacheFields count="18">
    <cacheField name="Semana" numFmtId="0">
      <sharedItems containsString="0" containsBlank="1" containsNumber="1" containsInteger="1" minValue="1" maxValue="4"/>
    </cacheField>
    <cacheField name="Data" numFmtId="0">
      <sharedItems containsNonDate="0" containsDate="1" containsString="0" containsBlank="1" minDate="2025-03-31T00:00:00" maxDate="2025-10-14T00:00:00" count="98">
        <d v="2025-03-31T00:00:00"/>
        <d v="2025-04-01T00:00:00"/>
        <d v="2025-04-02T00:00:00"/>
        <d v="2025-04-03T00:00:00"/>
        <d v="2025-04-04T00:00:00"/>
        <d v="2025-04-05T00:00:00"/>
        <d v="2025-04-06T00:00:00"/>
        <d v="2025-04-07T00:00:00"/>
        <d v="2025-04-08T00:00:00"/>
        <d v="2025-04-09T00:00:00"/>
        <d v="2025-04-10T00:00:00"/>
        <d v="2025-04-11T00:00:00"/>
        <d v="2025-04-12T00:00:00"/>
        <d v="2025-04-13T00:00:00"/>
        <d v="2025-04-14T00:00:00"/>
        <d v="2025-04-15T00:00:00"/>
        <d v="2025-04-16T00:00:00"/>
        <d v="2025-04-17T00:00:00"/>
        <d v="2025-04-18T00:00:00"/>
        <d v="2025-04-19T00:00:00"/>
        <d v="2025-05-20T00:00:00"/>
        <d v="2025-05-21T00:00:00"/>
        <d v="2025-05-22T00:00:00"/>
        <d v="2025-05-23T00:00:00"/>
        <d v="2025-05-24T00:00:00"/>
        <d v="2025-05-25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7T00:00:00"/>
        <d v="2025-06-08T00:00:00"/>
        <d v="2025-06-09T00:00:00"/>
        <d v="2025-06-10T00:00:00"/>
        <d v="2025-06-11T00:00:00"/>
        <d v="2025-06-12T00:00:00"/>
        <d v="2025-06-13T00:00:00"/>
        <d v="2025-07-01T00:00:00"/>
        <d v="2025-07-02T00:00:00"/>
        <d v="2025-07-03T00:00:00"/>
        <d v="2025-07-04T00:00:00"/>
        <d v="2025-07-05T00:00:00"/>
        <d v="2025-07-06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8-01T00:00:00"/>
        <d v="2025-08-02T00:00:00"/>
        <d v="2025-08-03T00:00:00"/>
        <d v="2025-08-04T00:00:00"/>
        <d v="2025-08-05T00:00:00"/>
        <d v="2025-08-06T00:00:00"/>
        <d v="2025-08-07T00:00:00"/>
        <d v="2025-08-08T00:00:00"/>
        <d v="2025-08-09T00:00:00"/>
        <d v="2025-08-10T00:00:00"/>
        <d v="2025-08-11T00:00:00"/>
        <d v="2025-08-12T00:00:00"/>
        <d v="2025-08-13T00:00:00"/>
        <d v="2025-09-01T00:00:00"/>
        <d v="2025-09-02T00:00:00"/>
        <d v="2025-09-03T00:00:00"/>
        <d v="2025-09-04T00:00:00"/>
        <d v="2025-09-05T00:00:00"/>
        <d v="2025-09-06T00:00:00"/>
        <d v="2025-09-07T00:00:00"/>
        <d v="2025-09-08T00:00:00"/>
        <d v="2025-09-09T00:00:00"/>
        <d v="2025-09-10T00:00:00"/>
        <d v="2025-09-11T00:00:00"/>
        <d v="2025-09-12T00:00:00"/>
        <d v="2025-09-13T00:00:00"/>
        <d v="2025-10-01T00:00:00"/>
        <d v="2025-10-02T00:00:00"/>
        <d v="2025-10-03T00:00:00"/>
        <d v="2025-10-04T00:00:00"/>
        <d v="2025-10-05T00:00:00"/>
        <d v="2025-10-06T00:00:00"/>
        <d v="2025-10-07T00:00:00"/>
        <d v="2025-10-08T00:00:00"/>
        <d v="2025-10-09T00:00:00"/>
        <d v="2025-10-10T00:00:00"/>
        <d v="2025-10-11T00:00:00"/>
        <d v="2025-10-12T00:00:00"/>
        <d v="2025-10-13T00:00:00"/>
        <m/>
      </sharedItems>
    </cacheField>
    <cacheField name="Funcionario" numFmtId="0">
      <sharedItems containsBlank="1"/>
    </cacheField>
    <cacheField name="Qtde Horas " numFmtId="0">
      <sharedItems containsString="0" containsBlank="1" containsNumber="1" minValue="1" maxValue="36"/>
    </cacheField>
    <cacheField name="Tipo Pgto" numFmtId="0">
      <sharedItems containsBlank="1"/>
    </cacheField>
    <cacheField name="Valor hora" numFmtId="0">
      <sharedItems containsString="0" containsBlank="1" containsNumber="1" containsInteger="1" minValue="28" maxValue="28"/>
    </cacheField>
    <cacheField name="Pgto Funcionario" numFmtId="0">
      <sharedItems containsString="0" containsBlank="1" containsNumber="1" minValue="28" maxValue="1008"/>
    </cacheField>
    <cacheField name="Custo Combustível" numFmtId="0">
      <sharedItems containsString="0" containsBlank="1" containsNumber="1" containsInteger="1" minValue="10" maxValue="50"/>
    </cacheField>
    <cacheField name="Custo Pedágio" numFmtId="0">
      <sharedItems containsString="0" containsBlank="1" containsNumber="1" minValue="1.5" maxValue="78"/>
    </cacheField>
    <cacheField name="Custo Produto" numFmtId="0">
      <sharedItems containsString="0" containsBlank="1" containsNumber="1" minValue="0.25" maxValue="60"/>
    </cacheField>
    <cacheField name="Custo Extras" numFmtId="0">
      <sharedItems containsString="0" containsBlank="1" containsNumber="1" containsInteger="1" minValue="0" maxValue="15"/>
    </cacheField>
    <cacheField name="Custos Tot" numFmtId="0">
      <sharedItems containsString="0" containsBlank="1" containsNumber="1" minValue="0" maxValue="120"/>
    </cacheField>
    <cacheField name="Cliente" numFmtId="0">
      <sharedItems containsBlank="1" count="12">
        <s v="Pam"/>
        <s v="Joao"/>
        <s v="Maria"/>
        <s v="Robert"/>
        <s v="Denis"/>
        <s v="João da silva "/>
        <s v="Paula Pereira "/>
        <s v="Joao J"/>
        <s v="Sofia Martins"/>
        <s v="João Henrique"/>
        <m/>
        <s v="Mariana Ribeiro"/>
      </sharedItems>
    </cacheField>
    <cacheField name="Tipo Pgto2" numFmtId="0">
      <sharedItems containsBlank="1"/>
    </cacheField>
    <cacheField name="Pgto" numFmtId="0">
      <sharedItems containsString="0" containsBlank="1" containsNumber="1" containsInteger="1" minValue="50" maxValue="2800"/>
    </cacheField>
    <cacheField name="Tipo Pgto3" numFmtId="0">
      <sharedItems containsBlank="1"/>
    </cacheField>
    <cacheField name="Pgto2" numFmtId="0">
      <sharedItems containsBlank="1"/>
    </cacheField>
    <cacheField name="Ganho_Total" numFmtId="0" formula="Pgto-'Pgto Funcionario'-'Custos Tot'" databaseField="0"/>
  </cacheFields>
  <extLst>
    <ext xmlns:x14="http://schemas.microsoft.com/office/spreadsheetml/2009/9/main" uri="{725AE2AE-9491-48be-B2B4-4EB974FC3084}">
      <x14:pivotCacheDefinition pivotCacheId="102887362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1">
  <r>
    <n v="1"/>
    <x v="0"/>
    <s v="elvis "/>
    <n v="4"/>
    <s v="cash"/>
    <n v="28"/>
    <n v="112"/>
    <n v="25"/>
    <n v="1.5"/>
    <n v="0.25"/>
    <n v="1"/>
    <n v="27.75"/>
    <x v="0"/>
    <s v="Hora Fixa"/>
    <n v="420"/>
    <s v="Conta"/>
    <s v="Pago "/>
  </r>
  <r>
    <n v="1"/>
    <x v="1"/>
    <s v="simone"/>
    <n v="4"/>
    <s v="invoice"/>
    <n v="28"/>
    <n v="112"/>
    <m/>
    <m/>
    <m/>
    <m/>
    <n v="0"/>
    <x v="1"/>
    <s v="Hora Fixa"/>
    <n v="320"/>
    <s v="Conta"/>
    <s v="Pago "/>
  </r>
  <r>
    <n v="1"/>
    <x v="2"/>
    <s v="simone"/>
    <n v="6"/>
    <s v="invoice"/>
    <n v="28"/>
    <n v="168"/>
    <m/>
    <m/>
    <m/>
    <m/>
    <n v="0"/>
    <x v="2"/>
    <s v="Valor Hora"/>
    <n v="300"/>
    <s v="Cash"/>
    <s v="Pago "/>
  </r>
  <r>
    <n v="1"/>
    <x v="2"/>
    <s v="daniela"/>
    <n v="2"/>
    <s v="invoice"/>
    <n v="28"/>
    <n v="56"/>
    <m/>
    <m/>
    <m/>
    <m/>
    <n v="0"/>
    <x v="2"/>
    <s v="Hora Fixa"/>
    <n v="330"/>
    <s v="Conta"/>
    <s v="Pago "/>
  </r>
  <r>
    <n v="1"/>
    <x v="3"/>
    <s v="daniela"/>
    <n v="4"/>
    <s v="invoice"/>
    <n v="28"/>
    <n v="112"/>
    <n v="10"/>
    <n v="1.5"/>
    <n v="0.25"/>
    <n v="1"/>
    <n v="12.75"/>
    <x v="3"/>
    <s v="Hora Fixa"/>
    <n v="420"/>
    <s v="Conta"/>
    <s v="Pago "/>
  </r>
  <r>
    <n v="1"/>
    <x v="3"/>
    <s v="elvis "/>
    <n v="3"/>
    <s v="invoice"/>
    <n v="28"/>
    <n v="84"/>
    <m/>
    <m/>
    <m/>
    <m/>
    <n v="0"/>
    <x v="4"/>
    <s v="Hora Fixa"/>
    <n v="420"/>
    <s v="Conta"/>
    <s v="Pago "/>
  </r>
  <r>
    <n v="1"/>
    <x v="4"/>
    <s v="simone"/>
    <n v="6.15"/>
    <s v="invoice"/>
    <n v="28"/>
    <n v="172.20000000000002"/>
    <m/>
    <m/>
    <m/>
    <m/>
    <n v="0"/>
    <x v="5"/>
    <s v="Hora Fixa"/>
    <n v="520"/>
    <s v="Conta"/>
    <s v="Pago "/>
  </r>
  <r>
    <n v="1"/>
    <x v="4"/>
    <s v="daniela"/>
    <n v="6"/>
    <s v="invoice"/>
    <n v="28"/>
    <n v="168"/>
    <m/>
    <m/>
    <m/>
    <m/>
    <n v="0"/>
    <x v="6"/>
    <s v="Hora Fixa"/>
    <n v="200"/>
    <s v="Conta"/>
    <s v="Pago "/>
  </r>
  <r>
    <n v="1"/>
    <x v="4"/>
    <s v="elvis "/>
    <n v="2"/>
    <s v="invoice"/>
    <n v="28"/>
    <n v="56"/>
    <m/>
    <m/>
    <m/>
    <m/>
    <n v="0"/>
    <x v="7"/>
    <s v="Hora Fixa"/>
    <n v="720"/>
    <s v="Conta"/>
    <s v="Pago "/>
  </r>
  <r>
    <n v="1"/>
    <x v="5"/>
    <s v="elvis "/>
    <n v="3"/>
    <s v="invoice"/>
    <n v="28"/>
    <n v="84"/>
    <m/>
    <m/>
    <m/>
    <m/>
    <n v="0"/>
    <x v="8"/>
    <s v="Valor Hora"/>
    <n v="1500"/>
    <s v="Conta"/>
    <s v="Pago "/>
  </r>
  <r>
    <n v="1"/>
    <x v="5"/>
    <s v="simone"/>
    <n v="6"/>
    <s v="invoice"/>
    <n v="28"/>
    <n v="168"/>
    <m/>
    <m/>
    <m/>
    <m/>
    <n v="0"/>
    <x v="9"/>
    <s v="Hora Fixa"/>
    <n v="2800"/>
    <s v="Cash"/>
    <s v="Pago "/>
  </r>
  <r>
    <n v="1"/>
    <x v="5"/>
    <s v="daniela"/>
    <n v="6"/>
    <s v="invoice"/>
    <n v="28"/>
    <n v="168"/>
    <m/>
    <m/>
    <m/>
    <m/>
    <n v="0"/>
    <x v="10"/>
    <m/>
    <m/>
    <m/>
    <m/>
  </r>
  <r>
    <n v="1"/>
    <x v="6"/>
    <s v="elvis "/>
    <n v="3"/>
    <s v="invoice"/>
    <n v="28"/>
    <n v="84"/>
    <m/>
    <m/>
    <m/>
    <m/>
    <n v="0"/>
    <x v="10"/>
    <m/>
    <m/>
    <m/>
    <m/>
  </r>
  <r>
    <n v="2"/>
    <x v="0"/>
    <s v="elvis "/>
    <n v="4"/>
    <s v="cash"/>
    <n v="28"/>
    <n v="112"/>
    <n v="25"/>
    <n v="1.5"/>
    <n v="0.25"/>
    <n v="1"/>
    <n v="27.75"/>
    <x v="0"/>
    <s v="Hora Fixa"/>
    <n v="420"/>
    <s v="Conta"/>
    <s v="Pago "/>
  </r>
  <r>
    <n v="2"/>
    <x v="1"/>
    <s v="simone"/>
    <n v="4"/>
    <s v="invoice"/>
    <n v="28"/>
    <n v="112"/>
    <m/>
    <m/>
    <m/>
    <m/>
    <n v="0"/>
    <x v="1"/>
    <s v="Hora Fixa"/>
    <n v="320"/>
    <s v="Conta"/>
    <s v="Pago "/>
  </r>
  <r>
    <n v="2"/>
    <x v="2"/>
    <s v="simone"/>
    <n v="6"/>
    <s v="invoice"/>
    <n v="28"/>
    <n v="168"/>
    <m/>
    <m/>
    <m/>
    <m/>
    <n v="0"/>
    <x v="2"/>
    <s v="Valor Hora"/>
    <n v="300"/>
    <s v="Cash"/>
    <s v="Pago "/>
  </r>
  <r>
    <n v="2"/>
    <x v="2"/>
    <s v="daniela"/>
    <n v="2"/>
    <s v="invoice"/>
    <n v="28"/>
    <n v="56"/>
    <m/>
    <m/>
    <m/>
    <m/>
    <n v="0"/>
    <x v="2"/>
    <s v="Hora Fixa"/>
    <n v="330"/>
    <s v="Conta"/>
    <s v="Pago "/>
  </r>
  <r>
    <n v="2"/>
    <x v="3"/>
    <s v="daniela"/>
    <n v="4"/>
    <s v="invoice"/>
    <n v="28"/>
    <n v="112"/>
    <n v="10"/>
    <n v="1.5"/>
    <n v="0.25"/>
    <n v="1"/>
    <n v="12.75"/>
    <x v="3"/>
    <s v="Hora Fixa"/>
    <n v="420"/>
    <s v="Conta"/>
    <s v="Pago "/>
  </r>
  <r>
    <n v="2"/>
    <x v="3"/>
    <s v="elvis "/>
    <n v="3"/>
    <s v="invoice"/>
    <n v="28"/>
    <n v="84"/>
    <m/>
    <m/>
    <m/>
    <m/>
    <n v="0"/>
    <x v="4"/>
    <s v="Hora Fixa"/>
    <n v="420"/>
    <s v="Conta"/>
    <s v="Pago "/>
  </r>
  <r>
    <n v="2"/>
    <x v="4"/>
    <s v="simone"/>
    <n v="6.15"/>
    <s v="invoice"/>
    <n v="28"/>
    <n v="172.20000000000002"/>
    <m/>
    <m/>
    <m/>
    <m/>
    <n v="0"/>
    <x v="5"/>
    <s v="Hora Fixa"/>
    <n v="520"/>
    <s v="Conta"/>
    <s v="Pago "/>
  </r>
  <r>
    <n v="2"/>
    <x v="4"/>
    <s v="daniela"/>
    <n v="6"/>
    <s v="invoice"/>
    <n v="28"/>
    <n v="168"/>
    <m/>
    <m/>
    <m/>
    <m/>
    <n v="0"/>
    <x v="6"/>
    <s v="Hora Fixa"/>
    <n v="200"/>
    <s v="Conta"/>
    <s v="Pago "/>
  </r>
  <r>
    <n v="2"/>
    <x v="4"/>
    <s v="elvis "/>
    <n v="2"/>
    <s v="invoice"/>
    <n v="28"/>
    <n v="56"/>
    <m/>
    <m/>
    <m/>
    <m/>
    <n v="0"/>
    <x v="7"/>
    <s v="Hora Fixa"/>
    <n v="720"/>
    <s v="Conta"/>
    <s v="Pago "/>
  </r>
  <r>
    <n v="2"/>
    <x v="5"/>
    <s v="elvis "/>
    <n v="3"/>
    <s v="invoice"/>
    <n v="28"/>
    <n v="84"/>
    <m/>
    <m/>
    <m/>
    <m/>
    <n v="0"/>
    <x v="8"/>
    <s v="Valor Hora"/>
    <n v="1500"/>
    <s v="Conta"/>
    <s v="Pago "/>
  </r>
  <r>
    <n v="2"/>
    <x v="5"/>
    <s v="simone"/>
    <n v="6"/>
    <s v="invoice"/>
    <n v="28"/>
    <n v="168"/>
    <m/>
    <m/>
    <m/>
    <m/>
    <n v="0"/>
    <x v="9"/>
    <s v="Hora Fixa"/>
    <n v="2800"/>
    <s v="Cash"/>
    <s v="Pago "/>
  </r>
  <r>
    <n v="2"/>
    <x v="5"/>
    <s v="daniela"/>
    <n v="6"/>
    <s v="invoice"/>
    <n v="28"/>
    <n v="168"/>
    <m/>
    <m/>
    <m/>
    <m/>
    <n v="0"/>
    <x v="10"/>
    <m/>
    <m/>
    <m/>
    <m/>
  </r>
  <r>
    <n v="2"/>
    <x v="6"/>
    <s v="elvis "/>
    <n v="3"/>
    <s v="invoice"/>
    <n v="28"/>
    <n v="84"/>
    <m/>
    <m/>
    <m/>
    <m/>
    <n v="0"/>
    <x v="10"/>
    <m/>
    <m/>
    <m/>
    <m/>
  </r>
  <r>
    <n v="2"/>
    <x v="0"/>
    <s v="elvis "/>
    <n v="4"/>
    <s v="cash"/>
    <n v="28"/>
    <n v="112"/>
    <n v="25"/>
    <n v="1.5"/>
    <n v="0.25"/>
    <n v="1"/>
    <n v="27.75"/>
    <x v="0"/>
    <s v="Hora Fixa"/>
    <n v="420"/>
    <s v="Conta"/>
    <s v="Pago "/>
  </r>
  <r>
    <n v="2"/>
    <x v="1"/>
    <s v="simone"/>
    <n v="4"/>
    <s v="invoice"/>
    <n v="28"/>
    <n v="112"/>
    <m/>
    <m/>
    <m/>
    <m/>
    <n v="0"/>
    <x v="1"/>
    <s v="Hora Fixa"/>
    <n v="320"/>
    <s v="Conta"/>
    <s v="Pago "/>
  </r>
  <r>
    <n v="2"/>
    <x v="2"/>
    <s v="simone"/>
    <n v="6"/>
    <s v="invoice"/>
    <n v="28"/>
    <n v="168"/>
    <m/>
    <m/>
    <m/>
    <m/>
    <n v="0"/>
    <x v="2"/>
    <s v="Valor Hora"/>
    <n v="300"/>
    <s v="Cash"/>
    <s v="Pago "/>
  </r>
  <r>
    <n v="2"/>
    <x v="2"/>
    <s v="daniela"/>
    <n v="2"/>
    <s v="invoice"/>
    <n v="28"/>
    <n v="56"/>
    <m/>
    <m/>
    <m/>
    <m/>
    <n v="0"/>
    <x v="2"/>
    <s v="Hora Fixa"/>
    <n v="330"/>
    <s v="Conta"/>
    <s v="Pago "/>
  </r>
  <r>
    <n v="2"/>
    <x v="3"/>
    <s v="daniela"/>
    <n v="4"/>
    <s v="invoice"/>
    <n v="28"/>
    <n v="112"/>
    <n v="10"/>
    <n v="1.5"/>
    <n v="0.25"/>
    <n v="1"/>
    <n v="12.75"/>
    <x v="3"/>
    <s v="Hora Fixa"/>
    <n v="420"/>
    <s v="Conta"/>
    <s v="Pago "/>
  </r>
  <r>
    <n v="2"/>
    <x v="3"/>
    <s v="elvis "/>
    <n v="3"/>
    <s v="invoice"/>
    <n v="28"/>
    <n v="84"/>
    <m/>
    <m/>
    <m/>
    <m/>
    <n v="0"/>
    <x v="4"/>
    <s v="Hora Fixa"/>
    <n v="420"/>
    <s v="Conta"/>
    <s v="Pago "/>
  </r>
  <r>
    <n v="2"/>
    <x v="4"/>
    <s v="simone"/>
    <n v="6.15"/>
    <s v="invoice"/>
    <n v="28"/>
    <n v="172.20000000000002"/>
    <m/>
    <m/>
    <m/>
    <m/>
    <n v="0"/>
    <x v="5"/>
    <s v="Hora Fixa"/>
    <n v="520"/>
    <s v="Conta"/>
    <s v="Pago "/>
  </r>
  <r>
    <n v="2"/>
    <x v="4"/>
    <s v="daniela"/>
    <n v="6"/>
    <s v="invoice"/>
    <n v="28"/>
    <n v="168"/>
    <m/>
    <m/>
    <m/>
    <m/>
    <n v="0"/>
    <x v="6"/>
    <s v="Hora Fixa"/>
    <n v="200"/>
    <s v="Conta"/>
    <s v="Pago "/>
  </r>
  <r>
    <n v="2"/>
    <x v="4"/>
    <s v="elvis "/>
    <n v="2"/>
    <s v="invoice"/>
    <n v="28"/>
    <n v="56"/>
    <m/>
    <m/>
    <m/>
    <m/>
    <n v="0"/>
    <x v="7"/>
    <s v="Hora Fixa"/>
    <n v="720"/>
    <s v="Conta"/>
    <s v="Pago "/>
  </r>
  <r>
    <n v="2"/>
    <x v="5"/>
    <s v="elvis "/>
    <n v="3"/>
    <s v="invoice"/>
    <n v="28"/>
    <n v="84"/>
    <m/>
    <m/>
    <m/>
    <m/>
    <n v="0"/>
    <x v="8"/>
    <s v="Valor Hora"/>
    <n v="1500"/>
    <s v="Conta"/>
    <s v="Pago "/>
  </r>
  <r>
    <n v="2"/>
    <x v="5"/>
    <s v="simone"/>
    <n v="6"/>
    <s v="invoice"/>
    <n v="28"/>
    <n v="168"/>
    <m/>
    <m/>
    <m/>
    <m/>
    <n v="0"/>
    <x v="9"/>
    <s v="Hora Fixa"/>
    <n v="2800"/>
    <s v="Cash"/>
    <s v="Pago "/>
  </r>
  <r>
    <n v="2"/>
    <x v="5"/>
    <s v="daniela"/>
    <n v="6"/>
    <s v="invoice"/>
    <n v="28"/>
    <n v="168"/>
    <m/>
    <m/>
    <m/>
    <m/>
    <n v="0"/>
    <x v="10"/>
    <m/>
    <m/>
    <m/>
    <m/>
  </r>
  <r>
    <n v="2"/>
    <x v="6"/>
    <s v="elvis "/>
    <n v="3"/>
    <s v="invoice"/>
    <n v="28"/>
    <n v="84"/>
    <m/>
    <m/>
    <m/>
    <m/>
    <n v="0"/>
    <x v="10"/>
    <m/>
    <m/>
    <m/>
    <m/>
  </r>
  <r>
    <n v="2"/>
    <x v="7"/>
    <s v="elvis "/>
    <n v="10"/>
    <s v="cash"/>
    <n v="28"/>
    <n v="280"/>
    <n v="25"/>
    <n v="1.5"/>
    <n v="0.25"/>
    <n v="1"/>
    <n v="27.75"/>
    <x v="0"/>
    <s v="Hora Fixa"/>
    <n v="420"/>
    <s v="Conta"/>
    <s v="Pago "/>
  </r>
  <r>
    <n v="2"/>
    <x v="8"/>
    <s v="simone"/>
    <n v="10"/>
    <s v="invoice"/>
    <n v="28"/>
    <n v="280"/>
    <m/>
    <m/>
    <m/>
    <m/>
    <n v="0"/>
    <x v="1"/>
    <s v="Hora Fixa"/>
    <n v="1000"/>
    <s v="Conta"/>
    <s v="Pago "/>
  </r>
  <r>
    <n v="2"/>
    <x v="9"/>
    <s v="simone"/>
    <n v="10"/>
    <s v="invoice"/>
    <n v="28"/>
    <n v="280"/>
    <m/>
    <m/>
    <m/>
    <m/>
    <n v="0"/>
    <x v="11"/>
    <s v="Valor Hora"/>
    <n v="300"/>
    <s v="Cash"/>
    <s v="Pago "/>
  </r>
  <r>
    <n v="2"/>
    <x v="10"/>
    <s v="daniela"/>
    <n v="10"/>
    <s v="invoice"/>
    <n v="28"/>
    <n v="280"/>
    <m/>
    <m/>
    <m/>
    <m/>
    <n v="0"/>
    <x v="2"/>
    <s v="Hora Fixa"/>
    <n v="330"/>
    <s v="Conta"/>
    <s v="Pago "/>
  </r>
  <r>
    <n v="2"/>
    <x v="11"/>
    <s v="daniela"/>
    <n v="4"/>
    <s v="invoice"/>
    <n v="28"/>
    <n v="112"/>
    <n v="10"/>
    <n v="1.5"/>
    <n v="0.25"/>
    <n v="1"/>
    <n v="12.75"/>
    <x v="3"/>
    <s v="Hora Fixa"/>
    <n v="500"/>
    <s v="Conta"/>
    <s v="Pago "/>
  </r>
  <r>
    <n v="2"/>
    <x v="12"/>
    <s v="elvis "/>
    <n v="3"/>
    <s v="invoice"/>
    <n v="28"/>
    <n v="84"/>
    <m/>
    <m/>
    <m/>
    <m/>
    <n v="0"/>
    <x v="4"/>
    <s v="Hora Fixa"/>
    <n v="420"/>
    <s v="Conta"/>
    <s v="Pago "/>
  </r>
  <r>
    <n v="2"/>
    <x v="13"/>
    <s v="simone"/>
    <n v="6.15"/>
    <s v="invoice"/>
    <n v="28"/>
    <n v="172.20000000000002"/>
    <m/>
    <m/>
    <m/>
    <m/>
    <n v="0"/>
    <x v="5"/>
    <s v="Hora Fixa"/>
    <n v="520"/>
    <s v="Conta"/>
    <s v="Pago "/>
  </r>
  <r>
    <n v="2"/>
    <x v="14"/>
    <s v="daniela"/>
    <n v="6"/>
    <s v="invoice"/>
    <n v="28"/>
    <n v="168"/>
    <m/>
    <m/>
    <m/>
    <m/>
    <n v="0"/>
    <x v="6"/>
    <s v="Hora Fixa"/>
    <n v="200"/>
    <s v="Conta"/>
    <s v="Pago "/>
  </r>
  <r>
    <n v="2"/>
    <x v="15"/>
    <s v="elvis "/>
    <n v="2"/>
    <s v="invoice"/>
    <n v="28"/>
    <n v="56"/>
    <m/>
    <m/>
    <m/>
    <m/>
    <n v="0"/>
    <x v="7"/>
    <s v="Hora Fixa"/>
    <n v="720"/>
    <s v="Conta"/>
    <s v="Pago "/>
  </r>
  <r>
    <n v="2"/>
    <x v="16"/>
    <s v="elvis "/>
    <n v="3"/>
    <s v="invoice"/>
    <n v="28"/>
    <n v="84"/>
    <m/>
    <m/>
    <m/>
    <m/>
    <n v="0"/>
    <x v="8"/>
    <s v="Valor Hora"/>
    <n v="1500"/>
    <s v="Conta"/>
    <s v="Pago "/>
  </r>
  <r>
    <n v="2"/>
    <x v="17"/>
    <s v="simone"/>
    <n v="6"/>
    <s v="invoice"/>
    <n v="28"/>
    <n v="168"/>
    <m/>
    <m/>
    <m/>
    <m/>
    <n v="0"/>
    <x v="9"/>
    <s v="Hora Fixa"/>
    <n v="2800"/>
    <s v="Cash"/>
    <s v="Pago "/>
  </r>
  <r>
    <n v="2"/>
    <x v="18"/>
    <s v="daniela"/>
    <n v="6"/>
    <s v="invoice"/>
    <n v="28"/>
    <n v="168"/>
    <m/>
    <m/>
    <m/>
    <m/>
    <n v="0"/>
    <x v="2"/>
    <s v="Hora Fixa"/>
    <n v="600"/>
    <s v="Cash"/>
    <s v="Pago "/>
  </r>
  <r>
    <n v="2"/>
    <x v="19"/>
    <s v="elvis "/>
    <n v="3"/>
    <s v="invoice"/>
    <n v="28"/>
    <n v="84"/>
    <m/>
    <m/>
    <m/>
    <m/>
    <n v="0"/>
    <x v="10"/>
    <m/>
    <m/>
    <m/>
    <m/>
  </r>
  <r>
    <n v="3"/>
    <x v="20"/>
    <s v="elvis "/>
    <n v="10"/>
    <s v="cash"/>
    <n v="28"/>
    <n v="280"/>
    <n v="25"/>
    <n v="1.5"/>
    <n v="0.25"/>
    <n v="1"/>
    <n v="27.75"/>
    <x v="0"/>
    <s v="Hora Fixa"/>
    <n v="420"/>
    <s v="Conta"/>
    <s v="Pago "/>
  </r>
  <r>
    <n v="3"/>
    <x v="21"/>
    <s v="simone"/>
    <n v="4"/>
    <s v="invoice"/>
    <n v="28"/>
    <n v="112"/>
    <m/>
    <m/>
    <m/>
    <m/>
    <n v="0"/>
    <x v="1"/>
    <s v="Hora Fixa"/>
    <n v="50"/>
    <s v="Conta"/>
    <s v="Pago "/>
  </r>
  <r>
    <n v="3"/>
    <x v="22"/>
    <s v="simone"/>
    <n v="2"/>
    <s v="invoice"/>
    <n v="28"/>
    <n v="56"/>
    <m/>
    <m/>
    <m/>
    <m/>
    <n v="0"/>
    <x v="11"/>
    <s v="Valor Hora"/>
    <n v="300"/>
    <s v="Cash"/>
    <s v="Pago "/>
  </r>
  <r>
    <n v="3"/>
    <x v="23"/>
    <s v="daniela"/>
    <n v="1"/>
    <s v="invoice"/>
    <n v="28"/>
    <n v="28"/>
    <m/>
    <m/>
    <m/>
    <m/>
    <n v="0"/>
    <x v="2"/>
    <s v="Hora Fixa"/>
    <n v="330"/>
    <s v="Conta"/>
    <s v="Pago "/>
  </r>
  <r>
    <n v="3"/>
    <x v="24"/>
    <s v="daniela"/>
    <n v="5"/>
    <s v="invoice"/>
    <n v="28"/>
    <n v="140"/>
    <n v="10"/>
    <n v="1.5"/>
    <n v="0.25"/>
    <n v="1"/>
    <n v="12.75"/>
    <x v="3"/>
    <s v="Hora Fixa"/>
    <n v="500"/>
    <s v="Conta"/>
    <s v="Pago "/>
  </r>
  <r>
    <n v="3"/>
    <x v="25"/>
    <s v="elvis "/>
    <n v="10"/>
    <s v="invoice"/>
    <n v="28"/>
    <n v="280"/>
    <m/>
    <m/>
    <m/>
    <m/>
    <n v="0"/>
    <x v="4"/>
    <s v="Hora Fixa"/>
    <n v="420"/>
    <s v="Conta"/>
    <s v="Pago "/>
  </r>
  <r>
    <n v="3"/>
    <x v="26"/>
    <s v="simone"/>
    <n v="20"/>
    <s v="invoice"/>
    <n v="28"/>
    <n v="560"/>
    <m/>
    <m/>
    <m/>
    <m/>
    <n v="0"/>
    <x v="5"/>
    <s v="Hora Fixa"/>
    <n v="400"/>
    <s v="Conta"/>
    <s v="Pago "/>
  </r>
  <r>
    <n v="3"/>
    <x v="27"/>
    <s v="daniela"/>
    <n v="1"/>
    <s v="invoice"/>
    <n v="28"/>
    <n v="28"/>
    <m/>
    <m/>
    <m/>
    <m/>
    <n v="0"/>
    <x v="6"/>
    <s v="Hora Fixa"/>
    <n v="200"/>
    <s v="Conta"/>
    <s v="Pago "/>
  </r>
  <r>
    <n v="3"/>
    <x v="28"/>
    <s v="elvis "/>
    <n v="6"/>
    <s v="invoice"/>
    <n v="28"/>
    <n v="168"/>
    <m/>
    <m/>
    <m/>
    <m/>
    <n v="0"/>
    <x v="7"/>
    <s v="Hora Fixa"/>
    <n v="720"/>
    <s v="Conta"/>
    <s v="Pago "/>
  </r>
  <r>
    <n v="3"/>
    <x v="29"/>
    <s v="elvis "/>
    <n v="3"/>
    <s v="invoice"/>
    <n v="28"/>
    <n v="84"/>
    <m/>
    <m/>
    <m/>
    <m/>
    <n v="0"/>
    <x v="8"/>
    <s v="Valor Hora"/>
    <n v="200"/>
    <s v="Conta"/>
    <s v="Pago "/>
  </r>
  <r>
    <n v="3"/>
    <x v="30"/>
    <s v="simone"/>
    <n v="6"/>
    <s v="invoice"/>
    <n v="28"/>
    <n v="168"/>
    <m/>
    <m/>
    <m/>
    <m/>
    <n v="0"/>
    <x v="9"/>
    <s v="Hora Fixa"/>
    <n v="350"/>
    <s v="Cash"/>
    <s v="Pago "/>
  </r>
  <r>
    <n v="3"/>
    <x v="31"/>
    <s v="daniela"/>
    <n v="6"/>
    <s v="invoice"/>
    <n v="28"/>
    <n v="168"/>
    <m/>
    <m/>
    <m/>
    <m/>
    <n v="0"/>
    <x v="2"/>
    <s v="Hora Fixa"/>
    <n v="400"/>
    <s v="Cash"/>
    <s v="Pago "/>
  </r>
  <r>
    <n v="3"/>
    <x v="32"/>
    <s v="elvis "/>
    <n v="3"/>
    <s v="invoice"/>
    <n v="28"/>
    <n v="84"/>
    <m/>
    <m/>
    <m/>
    <m/>
    <n v="0"/>
    <x v="10"/>
    <m/>
    <m/>
    <m/>
    <m/>
  </r>
  <r>
    <n v="3"/>
    <x v="32"/>
    <s v="elvis "/>
    <n v="2"/>
    <s v="cash"/>
    <n v="28"/>
    <n v="56"/>
    <n v="25"/>
    <n v="1.5"/>
    <n v="0.25"/>
    <n v="1"/>
    <n v="27.75"/>
    <x v="0"/>
    <s v="Hora Fixa"/>
    <n v="100"/>
    <s v="Conta"/>
    <s v="Pago "/>
  </r>
  <r>
    <n v="3"/>
    <x v="33"/>
    <s v="simone"/>
    <n v="4"/>
    <s v="invoice"/>
    <n v="28"/>
    <n v="112"/>
    <m/>
    <m/>
    <m/>
    <m/>
    <n v="0"/>
    <x v="1"/>
    <s v="Hora Fixa"/>
    <n v="150"/>
    <s v="Conta"/>
    <s v="Pago "/>
  </r>
  <r>
    <n v="3"/>
    <x v="34"/>
    <s v="simone"/>
    <n v="5"/>
    <s v="invoice"/>
    <n v="28"/>
    <n v="140"/>
    <m/>
    <m/>
    <m/>
    <m/>
    <n v="0"/>
    <x v="11"/>
    <s v="Valor Hora"/>
    <n v="200"/>
    <s v="Cash"/>
    <s v="Pago "/>
  </r>
  <r>
    <n v="3"/>
    <x v="35"/>
    <s v="daniela"/>
    <n v="7"/>
    <s v="invoice"/>
    <n v="28"/>
    <n v="196"/>
    <m/>
    <m/>
    <m/>
    <m/>
    <n v="0"/>
    <x v="2"/>
    <s v="Hora Fixa"/>
    <n v="300"/>
    <s v="Conta"/>
    <s v="Pago "/>
  </r>
  <r>
    <n v="3"/>
    <x v="36"/>
    <s v="daniela"/>
    <n v="9"/>
    <s v="invoice"/>
    <n v="28"/>
    <n v="252"/>
    <n v="10"/>
    <n v="1.5"/>
    <n v="0.25"/>
    <n v="1"/>
    <n v="12.75"/>
    <x v="3"/>
    <s v="Hora Fixa"/>
    <n v="1000"/>
    <s v="Conta"/>
    <s v="Pago "/>
  </r>
  <r>
    <n v="3"/>
    <x v="37"/>
    <s v="elvis "/>
    <n v="6"/>
    <s v="invoice"/>
    <n v="28"/>
    <n v="168"/>
    <m/>
    <m/>
    <m/>
    <m/>
    <n v="0"/>
    <x v="4"/>
    <s v="Hora Fixa"/>
    <n v="950"/>
    <s v="Conta"/>
    <s v="Pago "/>
  </r>
  <r>
    <n v="3"/>
    <x v="38"/>
    <s v="simone"/>
    <n v="15"/>
    <s v="invoice"/>
    <n v="28"/>
    <n v="420"/>
    <m/>
    <m/>
    <m/>
    <m/>
    <n v="0"/>
    <x v="5"/>
    <s v="Hora Fixa"/>
    <n v="800"/>
    <s v="Conta"/>
    <s v="Pago "/>
  </r>
  <r>
    <n v="3"/>
    <x v="39"/>
    <s v="daniela"/>
    <n v="3"/>
    <s v="invoice"/>
    <n v="28"/>
    <n v="84"/>
    <m/>
    <m/>
    <m/>
    <m/>
    <n v="0"/>
    <x v="6"/>
    <s v="Hora Fixa"/>
    <n v="700"/>
    <s v="Conta"/>
    <s v="Pago "/>
  </r>
  <r>
    <n v="3"/>
    <x v="40"/>
    <s v="elvis "/>
    <n v="4.5"/>
    <s v="invoice"/>
    <n v="28"/>
    <n v="126"/>
    <n v="50"/>
    <n v="10"/>
    <n v="60"/>
    <n v="0"/>
    <n v="120"/>
    <x v="7"/>
    <s v="Hora Fixa"/>
    <n v="600"/>
    <s v="Conta"/>
    <s v="Pago "/>
  </r>
  <r>
    <n v="3"/>
    <x v="41"/>
    <s v="elvis "/>
    <n v="3"/>
    <s v="invoice"/>
    <n v="28"/>
    <n v="84"/>
    <m/>
    <m/>
    <m/>
    <m/>
    <n v="0"/>
    <x v="8"/>
    <s v="Valor Hora"/>
    <n v="350"/>
    <s v="Conta"/>
    <s v="Pago "/>
  </r>
  <r>
    <n v="3"/>
    <x v="42"/>
    <s v="simone"/>
    <n v="6"/>
    <s v="invoice"/>
    <n v="28"/>
    <n v="168"/>
    <m/>
    <m/>
    <m/>
    <m/>
    <n v="0"/>
    <x v="9"/>
    <s v="Hora Fixa"/>
    <n v="400"/>
    <s v="Cash"/>
    <s v="Pago "/>
  </r>
  <r>
    <n v="3"/>
    <x v="43"/>
    <s v="daniela"/>
    <n v="4"/>
    <s v="invoice"/>
    <n v="28"/>
    <n v="112"/>
    <m/>
    <m/>
    <m/>
    <m/>
    <n v="0"/>
    <x v="2"/>
    <s v="Hora Fixa"/>
    <n v="500"/>
    <s v="Cash"/>
    <s v="Pago "/>
  </r>
  <r>
    <n v="3"/>
    <x v="44"/>
    <s v="elvis "/>
    <n v="3"/>
    <s v="invoice"/>
    <n v="28"/>
    <n v="84"/>
    <m/>
    <m/>
    <m/>
    <m/>
    <n v="0"/>
    <x v="10"/>
    <m/>
    <m/>
    <m/>
    <m/>
  </r>
  <r>
    <n v="3"/>
    <x v="45"/>
    <s v="elvis "/>
    <n v="7"/>
    <s v="cash"/>
    <n v="28"/>
    <n v="196"/>
    <m/>
    <m/>
    <m/>
    <m/>
    <n v="0"/>
    <x v="0"/>
    <s v="Hora Fixa"/>
    <n v="1000"/>
    <s v="Conta"/>
    <s v="Pago "/>
  </r>
  <r>
    <n v="3"/>
    <x v="46"/>
    <s v="simone"/>
    <n v="7"/>
    <s v="invoice"/>
    <n v="28"/>
    <n v="196"/>
    <m/>
    <m/>
    <m/>
    <m/>
    <n v="0"/>
    <x v="1"/>
    <s v="Hora Fixa"/>
    <n v="2000"/>
    <s v="Conta"/>
    <s v="Pago "/>
  </r>
  <r>
    <n v="3"/>
    <x v="47"/>
    <s v="simone"/>
    <n v="7"/>
    <s v="invoice"/>
    <n v="28"/>
    <n v="196"/>
    <m/>
    <m/>
    <m/>
    <m/>
    <n v="0"/>
    <x v="11"/>
    <s v="Valor Hora"/>
    <n v="700"/>
    <s v="Cash"/>
    <s v="Pago "/>
  </r>
  <r>
    <n v="3"/>
    <x v="48"/>
    <s v="daniela"/>
    <n v="8"/>
    <s v="invoice"/>
    <n v="28"/>
    <n v="224"/>
    <m/>
    <m/>
    <m/>
    <m/>
    <n v="0"/>
    <x v="2"/>
    <s v="Hora Fixa"/>
    <n v="250"/>
    <s v="Conta"/>
    <s v="Pago "/>
  </r>
  <r>
    <n v="3"/>
    <x v="49"/>
    <s v="daniela"/>
    <n v="9"/>
    <s v="invoice"/>
    <n v="28"/>
    <n v="252"/>
    <m/>
    <m/>
    <m/>
    <m/>
    <n v="0"/>
    <x v="3"/>
    <s v="Hora Fixa"/>
    <n v="250"/>
    <s v="Conta"/>
    <s v="Pago "/>
  </r>
  <r>
    <n v="3"/>
    <x v="50"/>
    <s v="elvis "/>
    <n v="5"/>
    <s v="invoice"/>
    <n v="28"/>
    <n v="140"/>
    <m/>
    <m/>
    <m/>
    <m/>
    <n v="0"/>
    <x v="4"/>
    <s v="Hora Fixa"/>
    <n v="99"/>
    <s v="Conta"/>
    <s v="Pago "/>
  </r>
  <r>
    <n v="3"/>
    <x v="51"/>
    <s v="simone"/>
    <n v="4"/>
    <s v="invoice"/>
    <n v="28"/>
    <n v="112"/>
    <m/>
    <m/>
    <m/>
    <m/>
    <n v="0"/>
    <x v="5"/>
    <s v="Hora Fixa"/>
    <n v="190"/>
    <s v="Conta"/>
    <s v="Pago "/>
  </r>
  <r>
    <n v="3"/>
    <x v="52"/>
    <s v="daniela"/>
    <n v="5"/>
    <s v="invoice"/>
    <n v="28"/>
    <n v="140"/>
    <m/>
    <m/>
    <m/>
    <m/>
    <n v="0"/>
    <x v="6"/>
    <s v="Hora Fixa"/>
    <n v="600"/>
    <s v="Conta"/>
    <s v="Pago "/>
  </r>
  <r>
    <n v="3"/>
    <x v="53"/>
    <s v="elvis "/>
    <n v="7"/>
    <s v="invoice"/>
    <n v="28"/>
    <n v="196"/>
    <n v="50"/>
    <n v="10"/>
    <n v="60"/>
    <n v="0"/>
    <n v="120"/>
    <x v="7"/>
    <s v="Hora Fixa"/>
    <n v="752"/>
    <s v="Conta"/>
    <s v="Pago "/>
  </r>
  <r>
    <n v="3"/>
    <x v="54"/>
    <s v="elvis "/>
    <n v="36"/>
    <s v="invoice"/>
    <n v="28"/>
    <n v="1008"/>
    <m/>
    <m/>
    <m/>
    <m/>
    <n v="0"/>
    <x v="8"/>
    <s v="Valor Hora"/>
    <n v="185"/>
    <s v="Conta"/>
    <s v="Pago "/>
  </r>
  <r>
    <n v="3"/>
    <x v="55"/>
    <s v="simone"/>
    <n v="5"/>
    <s v="invoice"/>
    <n v="28"/>
    <n v="140"/>
    <m/>
    <m/>
    <m/>
    <m/>
    <n v="0"/>
    <x v="9"/>
    <s v="Hora Fixa"/>
    <n v="1523"/>
    <s v="Cash"/>
    <s v="Pago "/>
  </r>
  <r>
    <n v="3"/>
    <x v="56"/>
    <s v="daniela"/>
    <n v="4"/>
    <s v="invoice"/>
    <n v="28"/>
    <n v="112"/>
    <m/>
    <m/>
    <m/>
    <m/>
    <n v="0"/>
    <x v="2"/>
    <s v="Hora Fixa"/>
    <n v="263"/>
    <s v="Cash"/>
    <s v="Pago "/>
  </r>
  <r>
    <n v="3"/>
    <x v="57"/>
    <s v="elvis "/>
    <n v="5"/>
    <s v="invoice"/>
    <n v="28"/>
    <n v="140"/>
    <m/>
    <m/>
    <m/>
    <m/>
    <n v="0"/>
    <x v="10"/>
    <m/>
    <m/>
    <m/>
    <m/>
  </r>
  <r>
    <n v="3"/>
    <x v="58"/>
    <s v="elvis "/>
    <n v="4"/>
    <s v="cash"/>
    <n v="28"/>
    <n v="112"/>
    <m/>
    <m/>
    <m/>
    <m/>
    <n v="0"/>
    <x v="0"/>
    <s v="Hora Fixa"/>
    <n v="1000"/>
    <s v="Conta"/>
    <s v="Pago "/>
  </r>
  <r>
    <n v="3"/>
    <x v="59"/>
    <s v="simone"/>
    <n v="5"/>
    <s v="invoice"/>
    <n v="28"/>
    <n v="140"/>
    <m/>
    <m/>
    <m/>
    <m/>
    <n v="0"/>
    <x v="1"/>
    <s v="Hora Fixa"/>
    <n v="370"/>
    <s v="Conta"/>
    <s v="Pago "/>
  </r>
  <r>
    <n v="3"/>
    <x v="60"/>
    <s v="simone"/>
    <n v="5"/>
    <s v="invoice"/>
    <n v="28"/>
    <n v="140"/>
    <m/>
    <m/>
    <m/>
    <m/>
    <n v="0"/>
    <x v="11"/>
    <s v="Valor Hora"/>
    <n v="155"/>
    <s v="Cash"/>
    <s v="Pago "/>
  </r>
  <r>
    <n v="3"/>
    <x v="61"/>
    <s v="daniela"/>
    <n v="8"/>
    <s v="invoice"/>
    <n v="28"/>
    <n v="224"/>
    <n v="10"/>
    <n v="5"/>
    <n v="14"/>
    <n v="15"/>
    <n v="44"/>
    <x v="2"/>
    <s v="Hora Fixa"/>
    <n v="250"/>
    <s v="Conta"/>
    <s v="Pago "/>
  </r>
  <r>
    <n v="3"/>
    <x v="62"/>
    <s v="daniela"/>
    <n v="12"/>
    <s v="invoice"/>
    <n v="28"/>
    <n v="336"/>
    <n v="21"/>
    <n v="78"/>
    <n v="1"/>
    <m/>
    <n v="100"/>
    <x v="3"/>
    <s v="Hora Fixa"/>
    <n v="250"/>
    <s v="Conta"/>
    <s v="Pago "/>
  </r>
  <r>
    <n v="3"/>
    <x v="63"/>
    <s v="elvis "/>
    <n v="2"/>
    <s v="invoice"/>
    <n v="28"/>
    <n v="56"/>
    <m/>
    <m/>
    <m/>
    <m/>
    <n v="0"/>
    <x v="4"/>
    <s v="Hora Fixa"/>
    <n v="99"/>
    <s v="Conta"/>
    <s v="Pago "/>
  </r>
  <r>
    <n v="3"/>
    <x v="64"/>
    <s v="simone"/>
    <n v="3"/>
    <s v="invoice"/>
    <n v="28"/>
    <n v="84"/>
    <m/>
    <m/>
    <m/>
    <m/>
    <n v="0"/>
    <x v="5"/>
    <s v="Hora Fixa"/>
    <n v="1500"/>
    <s v="Conta"/>
    <s v="Pago "/>
  </r>
  <r>
    <n v="3"/>
    <x v="65"/>
    <s v="daniela"/>
    <n v="5"/>
    <s v="invoice"/>
    <n v="28"/>
    <n v="140"/>
    <m/>
    <m/>
    <m/>
    <m/>
    <n v="0"/>
    <x v="6"/>
    <s v="Hora Fixa"/>
    <n v="279"/>
    <s v="Conta"/>
    <s v="Pago "/>
  </r>
  <r>
    <n v="3"/>
    <x v="66"/>
    <s v="elvis "/>
    <n v="5"/>
    <s v="invoice"/>
    <n v="28"/>
    <n v="140"/>
    <n v="50"/>
    <n v="10"/>
    <n v="60"/>
    <n v="0"/>
    <n v="120"/>
    <x v="7"/>
    <s v="Hora Fixa"/>
    <n v="458"/>
    <s v="Conta"/>
    <s v="Pago "/>
  </r>
  <r>
    <n v="3"/>
    <x v="67"/>
    <s v="elvis "/>
    <n v="6"/>
    <s v="invoice"/>
    <n v="28"/>
    <n v="168"/>
    <m/>
    <m/>
    <m/>
    <m/>
    <n v="0"/>
    <x v="8"/>
    <s v="Valor Hora"/>
    <n v="654"/>
    <s v="Conta"/>
    <s v="Pago "/>
  </r>
  <r>
    <n v="3"/>
    <x v="68"/>
    <s v="simone"/>
    <n v="4"/>
    <s v="invoice"/>
    <n v="28"/>
    <n v="112"/>
    <m/>
    <m/>
    <m/>
    <m/>
    <n v="0"/>
    <x v="9"/>
    <s v="Hora Fixa"/>
    <n v="548"/>
    <s v="Cash"/>
    <s v="Pago "/>
  </r>
  <r>
    <n v="3"/>
    <x v="69"/>
    <s v="daniela"/>
    <n v="8"/>
    <s v="invoice"/>
    <n v="28"/>
    <n v="224"/>
    <m/>
    <m/>
    <m/>
    <m/>
    <n v="0"/>
    <x v="2"/>
    <s v="Hora Fixa"/>
    <n v="516"/>
    <s v="Cash"/>
    <s v="Pago "/>
  </r>
  <r>
    <n v="3"/>
    <x v="70"/>
    <s v="elvis "/>
    <n v="7"/>
    <s v="invoice"/>
    <n v="28"/>
    <n v="196"/>
    <m/>
    <m/>
    <m/>
    <m/>
    <n v="0"/>
    <x v="10"/>
    <m/>
    <m/>
    <m/>
    <m/>
  </r>
  <r>
    <n v="4"/>
    <x v="71"/>
    <s v="elvis "/>
    <n v="1"/>
    <s v="cash"/>
    <n v="28"/>
    <n v="28"/>
    <m/>
    <m/>
    <m/>
    <m/>
    <n v="0"/>
    <x v="0"/>
    <s v="Hora Fixa"/>
    <n v="700"/>
    <s v="Conta"/>
    <s v="Pago "/>
  </r>
  <r>
    <n v="4"/>
    <x v="72"/>
    <s v="simone"/>
    <n v="4"/>
    <s v="invoice"/>
    <n v="28"/>
    <n v="112"/>
    <m/>
    <m/>
    <m/>
    <m/>
    <n v="0"/>
    <x v="1"/>
    <s v="Hora Fixa"/>
    <n v="640"/>
    <s v="Conta"/>
    <s v="Pago "/>
  </r>
  <r>
    <n v="4"/>
    <x v="73"/>
    <s v="simone"/>
    <n v="8"/>
    <s v="invoice"/>
    <n v="28"/>
    <n v="224"/>
    <m/>
    <m/>
    <m/>
    <m/>
    <n v="0"/>
    <x v="11"/>
    <s v="Valor Hora"/>
    <n v="641"/>
    <s v="Cash"/>
    <s v="Pago "/>
  </r>
  <r>
    <n v="4"/>
    <x v="74"/>
    <s v="daniela"/>
    <n v="6"/>
    <s v="invoice"/>
    <n v="28"/>
    <n v="168"/>
    <m/>
    <m/>
    <m/>
    <m/>
    <n v="0"/>
    <x v="2"/>
    <s v="Hora Fixa"/>
    <n v="659"/>
    <s v="Conta"/>
    <s v="Pago "/>
  </r>
  <r>
    <n v="4"/>
    <x v="75"/>
    <s v="daniela"/>
    <n v="7"/>
    <s v="invoice"/>
    <n v="28"/>
    <n v="196"/>
    <m/>
    <m/>
    <m/>
    <m/>
    <n v="0"/>
    <x v="3"/>
    <s v="Hora Fixa"/>
    <n v="641"/>
    <s v="Conta"/>
    <s v="Pago "/>
  </r>
  <r>
    <n v="4"/>
    <x v="76"/>
    <s v="elvis "/>
    <n v="5"/>
    <s v="invoice"/>
    <n v="28"/>
    <n v="140"/>
    <m/>
    <m/>
    <m/>
    <m/>
    <n v="0"/>
    <x v="4"/>
    <s v="Hora Fixa"/>
    <n v="638"/>
    <s v="Conta"/>
    <s v="Pago "/>
  </r>
  <r>
    <n v="4"/>
    <x v="77"/>
    <s v="simone"/>
    <n v="12"/>
    <s v="invoice"/>
    <n v="28"/>
    <n v="336"/>
    <m/>
    <m/>
    <m/>
    <m/>
    <n v="0"/>
    <x v="5"/>
    <s v="Hora Fixa"/>
    <n v="1698"/>
    <s v="Conta"/>
    <s v="Pago "/>
  </r>
  <r>
    <n v="4"/>
    <x v="78"/>
    <s v="daniela"/>
    <n v="4"/>
    <s v="invoice"/>
    <n v="28"/>
    <n v="112"/>
    <m/>
    <m/>
    <m/>
    <m/>
    <n v="0"/>
    <x v="6"/>
    <s v="Hora Fixa"/>
    <n v="967"/>
    <s v="Conta"/>
    <s v="Pago "/>
  </r>
  <r>
    <n v="4"/>
    <x v="79"/>
    <s v="elvis "/>
    <n v="12"/>
    <s v="invoice"/>
    <n v="28"/>
    <n v="336"/>
    <m/>
    <m/>
    <m/>
    <m/>
    <n v="0"/>
    <x v="7"/>
    <s v="Hora Fixa"/>
    <n v="612"/>
    <s v="Conta"/>
    <s v="Pago "/>
  </r>
  <r>
    <n v="4"/>
    <x v="80"/>
    <s v="elvis "/>
    <n v="6"/>
    <s v="invoice"/>
    <n v="28"/>
    <n v="168"/>
    <m/>
    <m/>
    <m/>
    <m/>
    <n v="0"/>
    <x v="8"/>
    <s v="Valor Hora"/>
    <n v="165"/>
    <s v="Conta"/>
    <s v="Pago "/>
  </r>
  <r>
    <n v="4"/>
    <x v="81"/>
    <s v="simone"/>
    <n v="12"/>
    <s v="invoice"/>
    <n v="28"/>
    <n v="336"/>
    <m/>
    <m/>
    <m/>
    <m/>
    <n v="0"/>
    <x v="9"/>
    <s v="Hora Fixa"/>
    <n v="987"/>
    <s v="Cash"/>
    <s v="Pago "/>
  </r>
  <r>
    <n v="4"/>
    <x v="82"/>
    <s v="daniela"/>
    <n v="10"/>
    <s v="invoice"/>
    <n v="28"/>
    <n v="280"/>
    <m/>
    <m/>
    <m/>
    <m/>
    <n v="0"/>
    <x v="2"/>
    <s v="Hora Fixa"/>
    <n v="652"/>
    <s v="Cash"/>
    <s v="Pago "/>
  </r>
  <r>
    <n v="4"/>
    <x v="83"/>
    <s v="elvis "/>
    <n v="9"/>
    <s v="invoice"/>
    <n v="28"/>
    <n v="252"/>
    <m/>
    <m/>
    <m/>
    <m/>
    <n v="0"/>
    <x v="10"/>
    <m/>
    <m/>
    <m/>
    <m/>
  </r>
  <r>
    <n v="1"/>
    <x v="84"/>
    <s v="elvis "/>
    <n v="4"/>
    <s v="cash"/>
    <n v="28"/>
    <n v="112"/>
    <m/>
    <m/>
    <m/>
    <m/>
    <n v="0"/>
    <x v="0"/>
    <s v="Hora Fixa"/>
    <n v="500"/>
    <s v="Conta"/>
    <s v="Pago "/>
  </r>
  <r>
    <n v="1"/>
    <x v="85"/>
    <s v="simone"/>
    <n v="8"/>
    <s v="invoice"/>
    <n v="28"/>
    <n v="224"/>
    <m/>
    <m/>
    <m/>
    <m/>
    <n v="0"/>
    <x v="1"/>
    <s v="Hora Fixa"/>
    <n v="582"/>
    <s v="Conta"/>
    <s v="Pago "/>
  </r>
  <r>
    <n v="1"/>
    <x v="86"/>
    <s v="simone"/>
    <n v="7"/>
    <s v="invoice"/>
    <n v="28"/>
    <n v="196"/>
    <m/>
    <m/>
    <m/>
    <m/>
    <n v="0"/>
    <x v="11"/>
    <s v="Valor Hora"/>
    <n v="592"/>
    <s v="Cash"/>
    <s v="Pago "/>
  </r>
  <r>
    <n v="1"/>
    <x v="87"/>
    <s v="daniela"/>
    <n v="5"/>
    <s v="invoice"/>
    <n v="28"/>
    <n v="140"/>
    <m/>
    <m/>
    <m/>
    <m/>
    <n v="0"/>
    <x v="2"/>
    <s v="Hora Fixa"/>
    <n v="189"/>
    <s v="Conta"/>
    <s v="Pago "/>
  </r>
  <r>
    <n v="1"/>
    <x v="88"/>
    <s v="daniela"/>
    <n v="7"/>
    <s v="invoice"/>
    <n v="28"/>
    <n v="196"/>
    <m/>
    <m/>
    <m/>
    <m/>
    <n v="0"/>
    <x v="3"/>
    <s v="Hora Fixa"/>
    <n v="158"/>
    <s v="Conta"/>
    <s v="Pago "/>
  </r>
  <r>
    <n v="1"/>
    <x v="89"/>
    <s v="elvis "/>
    <n v="8"/>
    <s v="invoice"/>
    <n v="28"/>
    <n v="224"/>
    <m/>
    <m/>
    <m/>
    <m/>
    <n v="0"/>
    <x v="4"/>
    <s v="Hora Fixa"/>
    <n v="876"/>
    <s v="Conta"/>
    <s v="Pago "/>
  </r>
  <r>
    <n v="1"/>
    <x v="90"/>
    <s v="simone"/>
    <n v="9"/>
    <s v="invoice"/>
    <n v="28"/>
    <n v="252"/>
    <m/>
    <m/>
    <m/>
    <m/>
    <n v="0"/>
    <x v="5"/>
    <s v="Hora Fixa"/>
    <n v="487"/>
    <s v="Conta"/>
    <s v="Pago "/>
  </r>
  <r>
    <n v="1"/>
    <x v="91"/>
    <s v="daniela"/>
    <n v="10"/>
    <s v="invoice"/>
    <n v="28"/>
    <n v="280"/>
    <m/>
    <m/>
    <m/>
    <m/>
    <n v="0"/>
    <x v="6"/>
    <s v="Hora Fixa"/>
    <n v="163"/>
    <s v="Conta"/>
    <s v="Pago "/>
  </r>
  <r>
    <n v="1"/>
    <x v="92"/>
    <s v="elvis "/>
    <n v="13"/>
    <s v="invoice"/>
    <n v="28"/>
    <n v="364"/>
    <m/>
    <m/>
    <m/>
    <m/>
    <n v="0"/>
    <x v="7"/>
    <s v="Hora Fixa"/>
    <n v="158"/>
    <s v="Conta"/>
    <s v="Pago "/>
  </r>
  <r>
    <n v="1"/>
    <x v="93"/>
    <s v="elvis "/>
    <n v="11"/>
    <s v="invoice"/>
    <n v="28"/>
    <n v="308"/>
    <m/>
    <m/>
    <m/>
    <m/>
    <n v="0"/>
    <x v="8"/>
    <s v="Valor Hora"/>
    <n v="481"/>
    <s v="Conta"/>
    <s v="Pago "/>
  </r>
  <r>
    <n v="1"/>
    <x v="94"/>
    <s v="simone"/>
    <n v="4"/>
    <s v="invoice"/>
    <n v="28"/>
    <n v="112"/>
    <m/>
    <m/>
    <m/>
    <m/>
    <n v="0"/>
    <x v="9"/>
    <s v="Hora Fixa"/>
    <n v="154"/>
    <s v="Cash"/>
    <s v="Pago "/>
  </r>
  <r>
    <n v="1"/>
    <x v="95"/>
    <s v="daniela"/>
    <n v="5"/>
    <s v="invoice"/>
    <n v="28"/>
    <n v="140"/>
    <m/>
    <m/>
    <m/>
    <m/>
    <n v="0"/>
    <x v="2"/>
    <s v="Hora Fixa"/>
    <n v="157"/>
    <s v="Cash"/>
    <s v="Pago "/>
  </r>
  <r>
    <n v="1"/>
    <x v="96"/>
    <s v="elvis "/>
    <n v="9"/>
    <s v="invoice"/>
    <n v="28"/>
    <n v="252"/>
    <m/>
    <m/>
    <m/>
    <m/>
    <n v="0"/>
    <x v="10"/>
    <m/>
    <m/>
    <m/>
    <m/>
  </r>
  <r>
    <m/>
    <x v="97"/>
    <m/>
    <m/>
    <m/>
    <m/>
    <m/>
    <m/>
    <m/>
    <m/>
    <m/>
    <m/>
    <x v="10"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1">
  <r>
    <n v="1"/>
    <x v="0"/>
    <s v="elvis "/>
    <n v="4"/>
    <s v="cash"/>
    <n v="28"/>
    <n v="112"/>
    <n v="25"/>
    <n v="1.5"/>
    <n v="0.25"/>
    <n v="1"/>
    <n v="27.75"/>
    <x v="0"/>
    <s v="Hora Fixa"/>
    <n v="420"/>
    <s v="Conta"/>
    <s v="Pago "/>
  </r>
  <r>
    <n v="1"/>
    <x v="1"/>
    <s v="simone"/>
    <n v="4"/>
    <s v="invoice"/>
    <n v="28"/>
    <n v="112"/>
    <m/>
    <m/>
    <m/>
    <m/>
    <n v="0"/>
    <x v="1"/>
    <s v="Hora Fixa"/>
    <n v="320"/>
    <s v="Conta"/>
    <s v="Pago "/>
  </r>
  <r>
    <n v="1"/>
    <x v="2"/>
    <s v="simone"/>
    <n v="6"/>
    <s v="invoice"/>
    <n v="28"/>
    <n v="168"/>
    <m/>
    <m/>
    <m/>
    <m/>
    <n v="0"/>
    <x v="2"/>
    <s v="Valor Hora"/>
    <n v="300"/>
    <s v="Cash"/>
    <s v="Pago "/>
  </r>
  <r>
    <n v="1"/>
    <x v="2"/>
    <s v="daniela"/>
    <n v="2"/>
    <s v="invoice"/>
    <n v="28"/>
    <n v="56"/>
    <m/>
    <m/>
    <m/>
    <m/>
    <n v="0"/>
    <x v="2"/>
    <s v="Hora Fixa"/>
    <n v="330"/>
    <s v="Conta"/>
    <s v="Pago "/>
  </r>
  <r>
    <n v="1"/>
    <x v="3"/>
    <s v="daniela"/>
    <n v="4"/>
    <s v="invoice"/>
    <n v="28"/>
    <n v="112"/>
    <n v="10"/>
    <n v="1.5"/>
    <n v="0.25"/>
    <n v="1"/>
    <n v="12.75"/>
    <x v="3"/>
    <s v="Hora Fixa"/>
    <n v="420"/>
    <s v="Conta"/>
    <s v="Pago "/>
  </r>
  <r>
    <n v="1"/>
    <x v="3"/>
    <s v="elvis "/>
    <n v="3"/>
    <s v="invoice"/>
    <n v="28"/>
    <n v="84"/>
    <m/>
    <m/>
    <m/>
    <m/>
    <n v="0"/>
    <x v="4"/>
    <s v="Hora Fixa"/>
    <n v="420"/>
    <s v="Conta"/>
    <s v="Pago "/>
  </r>
  <r>
    <n v="1"/>
    <x v="4"/>
    <s v="simone"/>
    <n v="6.15"/>
    <s v="invoice"/>
    <n v="28"/>
    <n v="172.20000000000002"/>
    <m/>
    <m/>
    <m/>
    <m/>
    <n v="0"/>
    <x v="5"/>
    <s v="Hora Fixa"/>
    <n v="520"/>
    <s v="Conta"/>
    <s v="Pago "/>
  </r>
  <r>
    <n v="1"/>
    <x v="4"/>
    <s v="daniela"/>
    <n v="6"/>
    <s v="invoice"/>
    <n v="28"/>
    <n v="168"/>
    <m/>
    <m/>
    <m/>
    <m/>
    <n v="0"/>
    <x v="6"/>
    <s v="Hora Fixa"/>
    <n v="200"/>
    <s v="Conta"/>
    <s v="Pago "/>
  </r>
  <r>
    <n v="1"/>
    <x v="4"/>
    <s v="elvis "/>
    <n v="2"/>
    <s v="invoice"/>
    <n v="28"/>
    <n v="56"/>
    <m/>
    <m/>
    <m/>
    <m/>
    <n v="0"/>
    <x v="7"/>
    <s v="Hora Fixa"/>
    <n v="720"/>
    <s v="Conta"/>
    <s v="Pago "/>
  </r>
  <r>
    <n v="1"/>
    <x v="5"/>
    <s v="elvis "/>
    <n v="3"/>
    <s v="invoice"/>
    <n v="28"/>
    <n v="84"/>
    <m/>
    <m/>
    <m/>
    <m/>
    <n v="0"/>
    <x v="8"/>
    <s v="Valor Hora"/>
    <n v="1500"/>
    <s v="Conta"/>
    <s v="Pago "/>
  </r>
  <r>
    <n v="1"/>
    <x v="5"/>
    <s v="simone"/>
    <n v="6"/>
    <s v="invoice"/>
    <n v="28"/>
    <n v="168"/>
    <m/>
    <m/>
    <m/>
    <m/>
    <n v="0"/>
    <x v="9"/>
    <s v="Hora Fixa"/>
    <n v="2800"/>
    <s v="Cash"/>
    <s v="Pago "/>
  </r>
  <r>
    <n v="1"/>
    <x v="5"/>
    <s v="daniela"/>
    <n v="6"/>
    <s v="invoice"/>
    <n v="28"/>
    <n v="168"/>
    <m/>
    <m/>
    <m/>
    <m/>
    <n v="0"/>
    <x v="10"/>
    <m/>
    <m/>
    <m/>
    <m/>
  </r>
  <r>
    <n v="1"/>
    <x v="6"/>
    <s v="elvis "/>
    <n v="3"/>
    <s v="invoice"/>
    <n v="28"/>
    <n v="84"/>
    <m/>
    <m/>
    <m/>
    <m/>
    <n v="0"/>
    <x v="10"/>
    <m/>
    <m/>
    <m/>
    <m/>
  </r>
  <r>
    <n v="2"/>
    <x v="0"/>
    <s v="elvis "/>
    <n v="4"/>
    <s v="cash"/>
    <n v="28"/>
    <n v="112"/>
    <n v="25"/>
    <n v="1.5"/>
    <n v="0.25"/>
    <n v="1"/>
    <n v="27.75"/>
    <x v="0"/>
    <s v="Hora Fixa"/>
    <n v="420"/>
    <s v="Conta"/>
    <s v="Pago "/>
  </r>
  <r>
    <n v="2"/>
    <x v="1"/>
    <s v="simone"/>
    <n v="4"/>
    <s v="invoice"/>
    <n v="28"/>
    <n v="112"/>
    <m/>
    <m/>
    <m/>
    <m/>
    <n v="0"/>
    <x v="1"/>
    <s v="Hora Fixa"/>
    <n v="320"/>
    <s v="Conta"/>
    <s v="Pago "/>
  </r>
  <r>
    <n v="2"/>
    <x v="2"/>
    <s v="simone"/>
    <n v="6"/>
    <s v="invoice"/>
    <n v="28"/>
    <n v="168"/>
    <m/>
    <m/>
    <m/>
    <m/>
    <n v="0"/>
    <x v="2"/>
    <s v="Valor Hora"/>
    <n v="300"/>
    <s v="Cash"/>
    <s v="Pago "/>
  </r>
  <r>
    <n v="2"/>
    <x v="2"/>
    <s v="daniela"/>
    <n v="2"/>
    <s v="invoice"/>
    <n v="28"/>
    <n v="56"/>
    <m/>
    <m/>
    <m/>
    <m/>
    <n v="0"/>
    <x v="2"/>
    <s v="Hora Fixa"/>
    <n v="330"/>
    <s v="Conta"/>
    <s v="Pago "/>
  </r>
  <r>
    <n v="2"/>
    <x v="3"/>
    <s v="daniela"/>
    <n v="4"/>
    <s v="invoice"/>
    <n v="28"/>
    <n v="112"/>
    <n v="10"/>
    <n v="1.5"/>
    <n v="0.25"/>
    <n v="1"/>
    <n v="12.75"/>
    <x v="3"/>
    <s v="Hora Fixa"/>
    <n v="420"/>
    <s v="Conta"/>
    <s v="Pago "/>
  </r>
  <r>
    <n v="2"/>
    <x v="3"/>
    <s v="elvis "/>
    <n v="3"/>
    <s v="invoice"/>
    <n v="28"/>
    <n v="84"/>
    <m/>
    <m/>
    <m/>
    <m/>
    <n v="0"/>
    <x v="4"/>
    <s v="Hora Fixa"/>
    <n v="420"/>
    <s v="Conta"/>
    <s v="Pago "/>
  </r>
  <r>
    <n v="2"/>
    <x v="4"/>
    <s v="simone"/>
    <n v="6.15"/>
    <s v="invoice"/>
    <n v="28"/>
    <n v="172.20000000000002"/>
    <m/>
    <m/>
    <m/>
    <m/>
    <n v="0"/>
    <x v="5"/>
    <s v="Hora Fixa"/>
    <n v="520"/>
    <s v="Conta"/>
    <s v="Pago "/>
  </r>
  <r>
    <n v="2"/>
    <x v="4"/>
    <s v="daniela"/>
    <n v="6"/>
    <s v="invoice"/>
    <n v="28"/>
    <n v="168"/>
    <m/>
    <m/>
    <m/>
    <m/>
    <n v="0"/>
    <x v="6"/>
    <s v="Hora Fixa"/>
    <n v="200"/>
    <s v="Conta"/>
    <s v="Pago "/>
  </r>
  <r>
    <n v="2"/>
    <x v="4"/>
    <s v="elvis "/>
    <n v="2"/>
    <s v="invoice"/>
    <n v="28"/>
    <n v="56"/>
    <m/>
    <m/>
    <m/>
    <m/>
    <n v="0"/>
    <x v="7"/>
    <s v="Hora Fixa"/>
    <n v="720"/>
    <s v="Conta"/>
    <s v="Pago "/>
  </r>
  <r>
    <n v="2"/>
    <x v="5"/>
    <s v="elvis "/>
    <n v="3"/>
    <s v="invoice"/>
    <n v="28"/>
    <n v="84"/>
    <m/>
    <m/>
    <m/>
    <m/>
    <n v="0"/>
    <x v="8"/>
    <s v="Valor Hora"/>
    <n v="1500"/>
    <s v="Conta"/>
    <s v="Pago "/>
  </r>
  <r>
    <n v="2"/>
    <x v="5"/>
    <s v="simone"/>
    <n v="6"/>
    <s v="invoice"/>
    <n v="28"/>
    <n v="168"/>
    <m/>
    <m/>
    <m/>
    <m/>
    <n v="0"/>
    <x v="9"/>
    <s v="Hora Fixa"/>
    <n v="2800"/>
    <s v="Cash"/>
    <s v="Pago "/>
  </r>
  <r>
    <n v="2"/>
    <x v="5"/>
    <s v="daniela"/>
    <n v="6"/>
    <s v="invoice"/>
    <n v="28"/>
    <n v="168"/>
    <m/>
    <m/>
    <m/>
    <m/>
    <n v="0"/>
    <x v="10"/>
    <m/>
    <m/>
    <m/>
    <m/>
  </r>
  <r>
    <n v="2"/>
    <x v="6"/>
    <s v="elvis "/>
    <n v="3"/>
    <s v="invoice"/>
    <n v="28"/>
    <n v="84"/>
    <m/>
    <m/>
    <m/>
    <m/>
    <n v="0"/>
    <x v="10"/>
    <m/>
    <m/>
    <m/>
    <m/>
  </r>
  <r>
    <n v="2"/>
    <x v="0"/>
    <s v="elvis "/>
    <n v="4"/>
    <s v="cash"/>
    <n v="28"/>
    <n v="112"/>
    <n v="25"/>
    <n v="1.5"/>
    <n v="0.25"/>
    <n v="1"/>
    <n v="27.75"/>
    <x v="0"/>
    <s v="Hora Fixa"/>
    <n v="420"/>
    <s v="Conta"/>
    <s v="Pago "/>
  </r>
  <r>
    <n v="2"/>
    <x v="1"/>
    <s v="simone"/>
    <n v="4"/>
    <s v="invoice"/>
    <n v="28"/>
    <n v="112"/>
    <m/>
    <m/>
    <m/>
    <m/>
    <n v="0"/>
    <x v="1"/>
    <s v="Hora Fixa"/>
    <n v="320"/>
    <s v="Conta"/>
    <s v="Pago "/>
  </r>
  <r>
    <n v="2"/>
    <x v="2"/>
    <s v="simone"/>
    <n v="6"/>
    <s v="invoice"/>
    <n v="28"/>
    <n v="168"/>
    <m/>
    <m/>
    <m/>
    <m/>
    <n v="0"/>
    <x v="2"/>
    <s v="Valor Hora"/>
    <n v="300"/>
    <s v="Cash"/>
    <s v="Pago "/>
  </r>
  <r>
    <n v="2"/>
    <x v="2"/>
    <s v="daniela"/>
    <n v="2"/>
    <s v="invoice"/>
    <n v="28"/>
    <n v="56"/>
    <m/>
    <m/>
    <m/>
    <m/>
    <n v="0"/>
    <x v="2"/>
    <s v="Hora Fixa"/>
    <n v="330"/>
    <s v="Conta"/>
    <s v="Pago "/>
  </r>
  <r>
    <n v="2"/>
    <x v="3"/>
    <s v="daniela"/>
    <n v="4"/>
    <s v="invoice"/>
    <n v="28"/>
    <n v="112"/>
    <n v="10"/>
    <n v="1.5"/>
    <n v="0.25"/>
    <n v="1"/>
    <n v="12.75"/>
    <x v="3"/>
    <s v="Hora Fixa"/>
    <n v="420"/>
    <s v="Conta"/>
    <s v="Pago "/>
  </r>
  <r>
    <n v="2"/>
    <x v="3"/>
    <s v="elvis "/>
    <n v="3"/>
    <s v="invoice"/>
    <n v="28"/>
    <n v="84"/>
    <m/>
    <m/>
    <m/>
    <m/>
    <n v="0"/>
    <x v="4"/>
    <s v="Hora Fixa"/>
    <n v="420"/>
    <s v="Conta"/>
    <s v="Pago "/>
  </r>
  <r>
    <n v="2"/>
    <x v="4"/>
    <s v="simone"/>
    <n v="6.15"/>
    <s v="invoice"/>
    <n v="28"/>
    <n v="172.20000000000002"/>
    <m/>
    <m/>
    <m/>
    <m/>
    <n v="0"/>
    <x v="5"/>
    <s v="Hora Fixa"/>
    <n v="520"/>
    <s v="Conta"/>
    <s v="Pago "/>
  </r>
  <r>
    <n v="2"/>
    <x v="4"/>
    <s v="daniela"/>
    <n v="6"/>
    <s v="invoice"/>
    <n v="28"/>
    <n v="168"/>
    <m/>
    <m/>
    <m/>
    <m/>
    <n v="0"/>
    <x v="6"/>
    <s v="Hora Fixa"/>
    <n v="200"/>
    <s v="Conta"/>
    <s v="Pago "/>
  </r>
  <r>
    <n v="2"/>
    <x v="4"/>
    <s v="elvis "/>
    <n v="2"/>
    <s v="invoice"/>
    <n v="28"/>
    <n v="56"/>
    <m/>
    <m/>
    <m/>
    <m/>
    <n v="0"/>
    <x v="7"/>
    <s v="Hora Fixa"/>
    <n v="720"/>
    <s v="Conta"/>
    <s v="Pago "/>
  </r>
  <r>
    <n v="2"/>
    <x v="5"/>
    <s v="elvis "/>
    <n v="3"/>
    <s v="invoice"/>
    <n v="28"/>
    <n v="84"/>
    <m/>
    <m/>
    <m/>
    <m/>
    <n v="0"/>
    <x v="8"/>
    <s v="Valor Hora"/>
    <n v="1500"/>
    <s v="Conta"/>
    <s v="Pago "/>
  </r>
  <r>
    <n v="2"/>
    <x v="5"/>
    <s v="simone"/>
    <n v="6"/>
    <s v="invoice"/>
    <n v="28"/>
    <n v="168"/>
    <m/>
    <m/>
    <m/>
    <m/>
    <n v="0"/>
    <x v="9"/>
    <s v="Hora Fixa"/>
    <n v="2800"/>
    <s v="Cash"/>
    <s v="Pago "/>
  </r>
  <r>
    <n v="2"/>
    <x v="5"/>
    <s v="daniela"/>
    <n v="6"/>
    <s v="invoice"/>
    <n v="28"/>
    <n v="168"/>
    <m/>
    <m/>
    <m/>
    <m/>
    <n v="0"/>
    <x v="10"/>
    <m/>
    <m/>
    <m/>
    <m/>
  </r>
  <r>
    <n v="2"/>
    <x v="6"/>
    <s v="elvis "/>
    <n v="3"/>
    <s v="invoice"/>
    <n v="28"/>
    <n v="84"/>
    <m/>
    <m/>
    <m/>
    <m/>
    <n v="0"/>
    <x v="10"/>
    <m/>
    <m/>
    <m/>
    <m/>
  </r>
  <r>
    <n v="2"/>
    <x v="7"/>
    <s v="elvis "/>
    <n v="10"/>
    <s v="cash"/>
    <n v="28"/>
    <n v="280"/>
    <n v="25"/>
    <n v="1.5"/>
    <n v="0.25"/>
    <n v="1"/>
    <n v="27.75"/>
    <x v="0"/>
    <s v="Hora Fixa"/>
    <n v="420"/>
    <s v="Conta"/>
    <s v="Pago "/>
  </r>
  <r>
    <n v="2"/>
    <x v="8"/>
    <s v="simone"/>
    <n v="10"/>
    <s v="invoice"/>
    <n v="28"/>
    <n v="280"/>
    <m/>
    <m/>
    <m/>
    <m/>
    <n v="0"/>
    <x v="1"/>
    <s v="Hora Fixa"/>
    <n v="1000"/>
    <s v="Conta"/>
    <s v="Pago "/>
  </r>
  <r>
    <n v="2"/>
    <x v="9"/>
    <s v="simone"/>
    <n v="10"/>
    <s v="invoice"/>
    <n v="28"/>
    <n v="280"/>
    <m/>
    <m/>
    <m/>
    <m/>
    <n v="0"/>
    <x v="11"/>
    <s v="Valor Hora"/>
    <n v="300"/>
    <s v="Cash"/>
    <s v="Pago "/>
  </r>
  <r>
    <n v="2"/>
    <x v="10"/>
    <s v="daniela"/>
    <n v="10"/>
    <s v="invoice"/>
    <n v="28"/>
    <n v="280"/>
    <m/>
    <m/>
    <m/>
    <m/>
    <n v="0"/>
    <x v="2"/>
    <s v="Hora Fixa"/>
    <n v="330"/>
    <s v="Conta"/>
    <s v="Pago "/>
  </r>
  <r>
    <n v="2"/>
    <x v="11"/>
    <s v="daniela"/>
    <n v="4"/>
    <s v="invoice"/>
    <n v="28"/>
    <n v="112"/>
    <n v="10"/>
    <n v="1.5"/>
    <n v="0.25"/>
    <n v="1"/>
    <n v="12.75"/>
    <x v="3"/>
    <s v="Hora Fixa"/>
    <n v="500"/>
    <s v="Conta"/>
    <s v="Pago "/>
  </r>
  <r>
    <n v="2"/>
    <x v="12"/>
    <s v="elvis "/>
    <n v="3"/>
    <s v="invoice"/>
    <n v="28"/>
    <n v="84"/>
    <m/>
    <m/>
    <m/>
    <m/>
    <n v="0"/>
    <x v="4"/>
    <s v="Hora Fixa"/>
    <n v="420"/>
    <s v="Conta"/>
    <s v="Pago "/>
  </r>
  <r>
    <n v="2"/>
    <x v="13"/>
    <s v="simone"/>
    <n v="6.15"/>
    <s v="invoice"/>
    <n v="28"/>
    <n v="172.20000000000002"/>
    <m/>
    <m/>
    <m/>
    <m/>
    <n v="0"/>
    <x v="5"/>
    <s v="Hora Fixa"/>
    <n v="520"/>
    <s v="Conta"/>
    <s v="Pago "/>
  </r>
  <r>
    <n v="2"/>
    <x v="14"/>
    <s v="daniela"/>
    <n v="6"/>
    <s v="invoice"/>
    <n v="28"/>
    <n v="168"/>
    <m/>
    <m/>
    <m/>
    <m/>
    <n v="0"/>
    <x v="6"/>
    <s v="Hora Fixa"/>
    <n v="200"/>
    <s v="Conta"/>
    <s v="Pago "/>
  </r>
  <r>
    <n v="2"/>
    <x v="15"/>
    <s v="elvis "/>
    <n v="2"/>
    <s v="invoice"/>
    <n v="28"/>
    <n v="56"/>
    <m/>
    <m/>
    <m/>
    <m/>
    <n v="0"/>
    <x v="7"/>
    <s v="Hora Fixa"/>
    <n v="720"/>
    <s v="Conta"/>
    <s v="Pago "/>
  </r>
  <r>
    <n v="2"/>
    <x v="16"/>
    <s v="elvis "/>
    <n v="3"/>
    <s v="invoice"/>
    <n v="28"/>
    <n v="84"/>
    <m/>
    <m/>
    <m/>
    <m/>
    <n v="0"/>
    <x v="8"/>
    <s v="Valor Hora"/>
    <n v="1500"/>
    <s v="Conta"/>
    <s v="Pago "/>
  </r>
  <r>
    <n v="2"/>
    <x v="17"/>
    <s v="simone"/>
    <n v="6"/>
    <s v="invoice"/>
    <n v="28"/>
    <n v="168"/>
    <m/>
    <m/>
    <m/>
    <m/>
    <n v="0"/>
    <x v="9"/>
    <s v="Hora Fixa"/>
    <n v="2800"/>
    <s v="Cash"/>
    <s v="Pago "/>
  </r>
  <r>
    <n v="2"/>
    <x v="18"/>
    <s v="daniela"/>
    <n v="6"/>
    <s v="invoice"/>
    <n v="28"/>
    <n v="168"/>
    <m/>
    <m/>
    <m/>
    <m/>
    <n v="0"/>
    <x v="2"/>
    <s v="Hora Fixa"/>
    <n v="600"/>
    <s v="Cash"/>
    <s v="Pago "/>
  </r>
  <r>
    <n v="2"/>
    <x v="19"/>
    <s v="elvis "/>
    <n v="3"/>
    <s v="invoice"/>
    <n v="28"/>
    <n v="84"/>
    <m/>
    <m/>
    <m/>
    <m/>
    <n v="0"/>
    <x v="10"/>
    <m/>
    <m/>
    <m/>
    <m/>
  </r>
  <r>
    <n v="3"/>
    <x v="20"/>
    <s v="elvis "/>
    <n v="10"/>
    <s v="cash"/>
    <n v="28"/>
    <n v="280"/>
    <n v="25"/>
    <n v="1.5"/>
    <n v="0.25"/>
    <n v="1"/>
    <n v="27.75"/>
    <x v="0"/>
    <s v="Hora Fixa"/>
    <n v="420"/>
    <s v="Conta"/>
    <s v="Pago "/>
  </r>
  <r>
    <n v="3"/>
    <x v="21"/>
    <s v="simone"/>
    <n v="4"/>
    <s v="invoice"/>
    <n v="28"/>
    <n v="112"/>
    <m/>
    <m/>
    <m/>
    <m/>
    <n v="0"/>
    <x v="1"/>
    <s v="Hora Fixa"/>
    <n v="50"/>
    <s v="Conta"/>
    <s v="Pago "/>
  </r>
  <r>
    <n v="3"/>
    <x v="22"/>
    <s v="simone"/>
    <n v="2"/>
    <s v="invoice"/>
    <n v="28"/>
    <n v="56"/>
    <m/>
    <m/>
    <m/>
    <m/>
    <n v="0"/>
    <x v="11"/>
    <s v="Valor Hora"/>
    <n v="300"/>
    <s v="Cash"/>
    <s v="Pago "/>
  </r>
  <r>
    <n v="3"/>
    <x v="23"/>
    <s v="daniela"/>
    <n v="1"/>
    <s v="invoice"/>
    <n v="28"/>
    <n v="28"/>
    <m/>
    <m/>
    <m/>
    <m/>
    <n v="0"/>
    <x v="2"/>
    <s v="Hora Fixa"/>
    <n v="330"/>
    <s v="Conta"/>
    <s v="Pago "/>
  </r>
  <r>
    <n v="3"/>
    <x v="24"/>
    <s v="daniela"/>
    <n v="5"/>
    <s v="invoice"/>
    <n v="28"/>
    <n v="140"/>
    <n v="10"/>
    <n v="1.5"/>
    <n v="0.25"/>
    <n v="1"/>
    <n v="12.75"/>
    <x v="3"/>
    <s v="Hora Fixa"/>
    <n v="500"/>
    <s v="Conta"/>
    <s v="Pago "/>
  </r>
  <r>
    <n v="3"/>
    <x v="25"/>
    <s v="elvis "/>
    <n v="10"/>
    <s v="invoice"/>
    <n v="28"/>
    <n v="280"/>
    <m/>
    <m/>
    <m/>
    <m/>
    <n v="0"/>
    <x v="4"/>
    <s v="Hora Fixa"/>
    <n v="420"/>
    <s v="Conta"/>
    <s v="Pago "/>
  </r>
  <r>
    <n v="3"/>
    <x v="26"/>
    <s v="simone"/>
    <n v="20"/>
    <s v="invoice"/>
    <n v="28"/>
    <n v="560"/>
    <m/>
    <m/>
    <m/>
    <m/>
    <n v="0"/>
    <x v="5"/>
    <s v="Hora Fixa"/>
    <n v="400"/>
    <s v="Conta"/>
    <s v="Pago "/>
  </r>
  <r>
    <n v="3"/>
    <x v="27"/>
    <s v="daniela"/>
    <n v="1"/>
    <s v="invoice"/>
    <n v="28"/>
    <n v="28"/>
    <m/>
    <m/>
    <m/>
    <m/>
    <n v="0"/>
    <x v="6"/>
    <s v="Hora Fixa"/>
    <n v="200"/>
    <s v="Conta"/>
    <s v="Pago "/>
  </r>
  <r>
    <n v="3"/>
    <x v="28"/>
    <s v="elvis "/>
    <n v="6"/>
    <s v="invoice"/>
    <n v="28"/>
    <n v="168"/>
    <m/>
    <m/>
    <m/>
    <m/>
    <n v="0"/>
    <x v="7"/>
    <s v="Hora Fixa"/>
    <n v="720"/>
    <s v="Conta"/>
    <s v="Pago "/>
  </r>
  <r>
    <n v="3"/>
    <x v="29"/>
    <s v="elvis "/>
    <n v="3"/>
    <s v="invoice"/>
    <n v="28"/>
    <n v="84"/>
    <m/>
    <m/>
    <m/>
    <m/>
    <n v="0"/>
    <x v="8"/>
    <s v="Valor Hora"/>
    <n v="200"/>
    <s v="Conta"/>
    <s v="Pago "/>
  </r>
  <r>
    <n v="3"/>
    <x v="30"/>
    <s v="simone"/>
    <n v="6"/>
    <s v="invoice"/>
    <n v="28"/>
    <n v="168"/>
    <m/>
    <m/>
    <m/>
    <m/>
    <n v="0"/>
    <x v="9"/>
    <s v="Hora Fixa"/>
    <n v="350"/>
    <s v="Cash"/>
    <s v="Pago "/>
  </r>
  <r>
    <n v="3"/>
    <x v="31"/>
    <s v="daniela"/>
    <n v="6"/>
    <s v="invoice"/>
    <n v="28"/>
    <n v="168"/>
    <m/>
    <m/>
    <m/>
    <m/>
    <n v="0"/>
    <x v="2"/>
    <s v="Hora Fixa"/>
    <n v="400"/>
    <s v="Cash"/>
    <s v="Pago "/>
  </r>
  <r>
    <n v="3"/>
    <x v="32"/>
    <s v="elvis "/>
    <n v="3"/>
    <s v="invoice"/>
    <n v="28"/>
    <n v="84"/>
    <m/>
    <m/>
    <m/>
    <m/>
    <n v="0"/>
    <x v="10"/>
    <m/>
    <m/>
    <m/>
    <m/>
  </r>
  <r>
    <n v="3"/>
    <x v="32"/>
    <s v="elvis "/>
    <n v="2"/>
    <s v="cash"/>
    <n v="28"/>
    <n v="56"/>
    <n v="25"/>
    <n v="1.5"/>
    <n v="0.25"/>
    <n v="1"/>
    <n v="27.75"/>
    <x v="0"/>
    <s v="Hora Fixa"/>
    <n v="100"/>
    <s v="Conta"/>
    <s v="Pago "/>
  </r>
  <r>
    <n v="3"/>
    <x v="33"/>
    <s v="simone"/>
    <n v="4"/>
    <s v="invoice"/>
    <n v="28"/>
    <n v="112"/>
    <m/>
    <m/>
    <m/>
    <m/>
    <n v="0"/>
    <x v="1"/>
    <s v="Hora Fixa"/>
    <n v="150"/>
    <s v="Conta"/>
    <s v="Pago "/>
  </r>
  <r>
    <n v="3"/>
    <x v="34"/>
    <s v="simone"/>
    <n v="5"/>
    <s v="invoice"/>
    <n v="28"/>
    <n v="140"/>
    <m/>
    <m/>
    <m/>
    <m/>
    <n v="0"/>
    <x v="11"/>
    <s v="Valor Hora"/>
    <n v="200"/>
    <s v="Cash"/>
    <s v="Pago "/>
  </r>
  <r>
    <n v="3"/>
    <x v="35"/>
    <s v="daniela"/>
    <n v="7"/>
    <s v="invoice"/>
    <n v="28"/>
    <n v="196"/>
    <m/>
    <m/>
    <m/>
    <m/>
    <n v="0"/>
    <x v="2"/>
    <s v="Hora Fixa"/>
    <n v="300"/>
    <s v="Conta"/>
    <s v="Pago "/>
  </r>
  <r>
    <n v="3"/>
    <x v="36"/>
    <s v="daniela"/>
    <n v="9"/>
    <s v="invoice"/>
    <n v="28"/>
    <n v="252"/>
    <n v="10"/>
    <n v="1.5"/>
    <n v="0.25"/>
    <n v="1"/>
    <n v="12.75"/>
    <x v="3"/>
    <s v="Hora Fixa"/>
    <n v="1000"/>
    <s v="Conta"/>
    <s v="Pago "/>
  </r>
  <r>
    <n v="3"/>
    <x v="37"/>
    <s v="elvis "/>
    <n v="6"/>
    <s v="invoice"/>
    <n v="28"/>
    <n v="168"/>
    <m/>
    <m/>
    <m/>
    <m/>
    <n v="0"/>
    <x v="4"/>
    <s v="Hora Fixa"/>
    <n v="950"/>
    <s v="Conta"/>
    <s v="Pago "/>
  </r>
  <r>
    <n v="3"/>
    <x v="38"/>
    <s v="simone"/>
    <n v="15"/>
    <s v="invoice"/>
    <n v="28"/>
    <n v="420"/>
    <m/>
    <m/>
    <m/>
    <m/>
    <n v="0"/>
    <x v="5"/>
    <s v="Hora Fixa"/>
    <n v="800"/>
    <s v="Conta"/>
    <s v="Pago "/>
  </r>
  <r>
    <n v="3"/>
    <x v="39"/>
    <s v="daniela"/>
    <n v="3"/>
    <s v="invoice"/>
    <n v="28"/>
    <n v="84"/>
    <m/>
    <m/>
    <m/>
    <m/>
    <n v="0"/>
    <x v="6"/>
    <s v="Hora Fixa"/>
    <n v="700"/>
    <s v="Conta"/>
    <s v="Pago "/>
  </r>
  <r>
    <n v="3"/>
    <x v="40"/>
    <s v="elvis "/>
    <n v="4.5"/>
    <s v="invoice"/>
    <n v="28"/>
    <n v="126"/>
    <n v="50"/>
    <n v="10"/>
    <n v="60"/>
    <n v="0"/>
    <n v="120"/>
    <x v="7"/>
    <s v="Hora Fixa"/>
    <n v="600"/>
    <s v="Conta"/>
    <s v="Pago "/>
  </r>
  <r>
    <n v="3"/>
    <x v="41"/>
    <s v="elvis "/>
    <n v="3"/>
    <s v="invoice"/>
    <n v="28"/>
    <n v="84"/>
    <m/>
    <m/>
    <m/>
    <m/>
    <n v="0"/>
    <x v="8"/>
    <s v="Valor Hora"/>
    <n v="350"/>
    <s v="Conta"/>
    <s v="Pago "/>
  </r>
  <r>
    <n v="3"/>
    <x v="42"/>
    <s v="simone"/>
    <n v="6"/>
    <s v="invoice"/>
    <n v="28"/>
    <n v="168"/>
    <m/>
    <m/>
    <m/>
    <m/>
    <n v="0"/>
    <x v="9"/>
    <s v="Hora Fixa"/>
    <n v="400"/>
    <s v="Cash"/>
    <s v="Pago "/>
  </r>
  <r>
    <n v="3"/>
    <x v="43"/>
    <s v="daniela"/>
    <n v="4"/>
    <s v="invoice"/>
    <n v="28"/>
    <n v="112"/>
    <m/>
    <m/>
    <m/>
    <m/>
    <n v="0"/>
    <x v="2"/>
    <s v="Hora Fixa"/>
    <n v="500"/>
    <s v="Cash"/>
    <s v="Pago "/>
  </r>
  <r>
    <n v="3"/>
    <x v="44"/>
    <s v="elvis "/>
    <n v="3"/>
    <s v="invoice"/>
    <n v="28"/>
    <n v="84"/>
    <m/>
    <m/>
    <m/>
    <m/>
    <n v="0"/>
    <x v="10"/>
    <m/>
    <m/>
    <m/>
    <m/>
  </r>
  <r>
    <n v="3"/>
    <x v="45"/>
    <s v="elvis "/>
    <n v="7"/>
    <s v="cash"/>
    <n v="28"/>
    <n v="196"/>
    <m/>
    <m/>
    <m/>
    <m/>
    <n v="0"/>
    <x v="0"/>
    <s v="Hora Fixa"/>
    <n v="1000"/>
    <s v="Conta"/>
    <s v="Pago "/>
  </r>
  <r>
    <n v="3"/>
    <x v="46"/>
    <s v="simone"/>
    <n v="7"/>
    <s v="invoice"/>
    <n v="28"/>
    <n v="196"/>
    <m/>
    <m/>
    <m/>
    <m/>
    <n v="0"/>
    <x v="1"/>
    <s v="Hora Fixa"/>
    <n v="2000"/>
    <s v="Conta"/>
    <s v="Pago "/>
  </r>
  <r>
    <n v="3"/>
    <x v="47"/>
    <s v="simone"/>
    <n v="7"/>
    <s v="invoice"/>
    <n v="28"/>
    <n v="196"/>
    <m/>
    <m/>
    <m/>
    <m/>
    <n v="0"/>
    <x v="11"/>
    <s v="Valor Hora"/>
    <n v="700"/>
    <s v="Cash"/>
    <s v="Pago "/>
  </r>
  <r>
    <n v="3"/>
    <x v="48"/>
    <s v="daniela"/>
    <n v="8"/>
    <s v="invoice"/>
    <n v="28"/>
    <n v="224"/>
    <m/>
    <m/>
    <m/>
    <m/>
    <n v="0"/>
    <x v="2"/>
    <s v="Hora Fixa"/>
    <n v="250"/>
    <s v="Conta"/>
    <s v="Pago "/>
  </r>
  <r>
    <n v="3"/>
    <x v="49"/>
    <s v="daniela"/>
    <n v="9"/>
    <s v="invoice"/>
    <n v="28"/>
    <n v="252"/>
    <m/>
    <m/>
    <m/>
    <m/>
    <n v="0"/>
    <x v="3"/>
    <s v="Hora Fixa"/>
    <n v="250"/>
    <s v="Conta"/>
    <s v="Pago "/>
  </r>
  <r>
    <n v="3"/>
    <x v="50"/>
    <s v="elvis "/>
    <n v="5"/>
    <s v="invoice"/>
    <n v="28"/>
    <n v="140"/>
    <m/>
    <m/>
    <m/>
    <m/>
    <n v="0"/>
    <x v="4"/>
    <s v="Hora Fixa"/>
    <n v="99"/>
    <s v="Conta"/>
    <s v="Pago "/>
  </r>
  <r>
    <n v="3"/>
    <x v="51"/>
    <s v="simone"/>
    <n v="4"/>
    <s v="invoice"/>
    <n v="28"/>
    <n v="112"/>
    <m/>
    <m/>
    <m/>
    <m/>
    <n v="0"/>
    <x v="5"/>
    <s v="Hora Fixa"/>
    <n v="190"/>
    <s v="Conta"/>
    <s v="Pago "/>
  </r>
  <r>
    <n v="3"/>
    <x v="52"/>
    <s v="daniela"/>
    <n v="5"/>
    <s v="invoice"/>
    <n v="28"/>
    <n v="140"/>
    <m/>
    <m/>
    <m/>
    <m/>
    <n v="0"/>
    <x v="6"/>
    <s v="Hora Fixa"/>
    <n v="600"/>
    <s v="Conta"/>
    <s v="Pago "/>
  </r>
  <r>
    <n v="3"/>
    <x v="53"/>
    <s v="elvis "/>
    <n v="7"/>
    <s v="invoice"/>
    <n v="28"/>
    <n v="196"/>
    <n v="50"/>
    <n v="10"/>
    <n v="60"/>
    <n v="0"/>
    <n v="120"/>
    <x v="7"/>
    <s v="Hora Fixa"/>
    <n v="752"/>
    <s v="Conta"/>
    <s v="Pago "/>
  </r>
  <r>
    <n v="3"/>
    <x v="54"/>
    <s v="elvis "/>
    <n v="36"/>
    <s v="invoice"/>
    <n v="28"/>
    <n v="1008"/>
    <m/>
    <m/>
    <m/>
    <m/>
    <n v="0"/>
    <x v="8"/>
    <s v="Valor Hora"/>
    <n v="185"/>
    <s v="Conta"/>
    <s v="Pago "/>
  </r>
  <r>
    <n v="3"/>
    <x v="55"/>
    <s v="simone"/>
    <n v="5"/>
    <s v="invoice"/>
    <n v="28"/>
    <n v="140"/>
    <m/>
    <m/>
    <m/>
    <m/>
    <n v="0"/>
    <x v="9"/>
    <s v="Hora Fixa"/>
    <n v="1523"/>
    <s v="Cash"/>
    <s v="Pago "/>
  </r>
  <r>
    <n v="3"/>
    <x v="56"/>
    <s v="daniela"/>
    <n v="4"/>
    <s v="invoice"/>
    <n v="28"/>
    <n v="112"/>
    <m/>
    <m/>
    <m/>
    <m/>
    <n v="0"/>
    <x v="2"/>
    <s v="Hora Fixa"/>
    <n v="263"/>
    <s v="Cash"/>
    <s v="Pago "/>
  </r>
  <r>
    <n v="3"/>
    <x v="57"/>
    <s v="elvis "/>
    <n v="5"/>
    <s v="invoice"/>
    <n v="28"/>
    <n v="140"/>
    <m/>
    <m/>
    <m/>
    <m/>
    <n v="0"/>
    <x v="10"/>
    <m/>
    <m/>
    <m/>
    <m/>
  </r>
  <r>
    <n v="3"/>
    <x v="58"/>
    <s v="elvis "/>
    <n v="4"/>
    <s v="cash"/>
    <n v="28"/>
    <n v="112"/>
    <m/>
    <m/>
    <m/>
    <m/>
    <n v="0"/>
    <x v="0"/>
    <s v="Hora Fixa"/>
    <n v="1000"/>
    <s v="Conta"/>
    <s v="Pago "/>
  </r>
  <r>
    <n v="3"/>
    <x v="59"/>
    <s v="simone"/>
    <n v="5"/>
    <s v="invoice"/>
    <n v="28"/>
    <n v="140"/>
    <m/>
    <m/>
    <m/>
    <m/>
    <n v="0"/>
    <x v="1"/>
    <s v="Hora Fixa"/>
    <n v="370"/>
    <s v="Conta"/>
    <s v="Pago "/>
  </r>
  <r>
    <n v="3"/>
    <x v="60"/>
    <s v="simone"/>
    <n v="5"/>
    <s v="invoice"/>
    <n v="28"/>
    <n v="140"/>
    <m/>
    <m/>
    <m/>
    <m/>
    <n v="0"/>
    <x v="11"/>
    <s v="Valor Hora"/>
    <n v="155"/>
    <s v="Cash"/>
    <s v="Pago "/>
  </r>
  <r>
    <n v="3"/>
    <x v="61"/>
    <s v="daniela"/>
    <n v="8"/>
    <s v="invoice"/>
    <n v="28"/>
    <n v="224"/>
    <n v="10"/>
    <n v="5"/>
    <n v="14"/>
    <n v="15"/>
    <n v="44"/>
    <x v="2"/>
    <s v="Hora Fixa"/>
    <n v="250"/>
    <s v="Conta"/>
    <s v="Pago "/>
  </r>
  <r>
    <n v="3"/>
    <x v="62"/>
    <s v="daniela"/>
    <n v="12"/>
    <s v="invoice"/>
    <n v="28"/>
    <n v="336"/>
    <n v="21"/>
    <n v="78"/>
    <n v="1"/>
    <m/>
    <n v="100"/>
    <x v="3"/>
    <s v="Hora Fixa"/>
    <n v="250"/>
    <s v="Conta"/>
    <s v="Pago "/>
  </r>
  <r>
    <n v="3"/>
    <x v="63"/>
    <s v="elvis "/>
    <n v="2"/>
    <s v="invoice"/>
    <n v="28"/>
    <n v="56"/>
    <m/>
    <m/>
    <m/>
    <m/>
    <n v="0"/>
    <x v="4"/>
    <s v="Hora Fixa"/>
    <n v="99"/>
    <s v="Conta"/>
    <s v="Pago "/>
  </r>
  <r>
    <n v="3"/>
    <x v="64"/>
    <s v="simone"/>
    <n v="3"/>
    <s v="invoice"/>
    <n v="28"/>
    <n v="84"/>
    <m/>
    <m/>
    <m/>
    <m/>
    <n v="0"/>
    <x v="5"/>
    <s v="Hora Fixa"/>
    <n v="1500"/>
    <s v="Conta"/>
    <s v="Pago "/>
  </r>
  <r>
    <n v="3"/>
    <x v="65"/>
    <s v="daniela"/>
    <n v="5"/>
    <s v="invoice"/>
    <n v="28"/>
    <n v="140"/>
    <m/>
    <m/>
    <m/>
    <m/>
    <n v="0"/>
    <x v="6"/>
    <s v="Hora Fixa"/>
    <n v="279"/>
    <s v="Conta"/>
    <s v="Pago "/>
  </r>
  <r>
    <n v="3"/>
    <x v="66"/>
    <s v="elvis "/>
    <n v="5"/>
    <s v="invoice"/>
    <n v="28"/>
    <n v="140"/>
    <n v="50"/>
    <n v="10"/>
    <n v="60"/>
    <n v="0"/>
    <n v="120"/>
    <x v="7"/>
    <s v="Hora Fixa"/>
    <n v="458"/>
    <s v="Conta"/>
    <s v="Pago "/>
  </r>
  <r>
    <n v="3"/>
    <x v="67"/>
    <s v="elvis "/>
    <n v="6"/>
    <s v="invoice"/>
    <n v="28"/>
    <n v="168"/>
    <m/>
    <m/>
    <m/>
    <m/>
    <n v="0"/>
    <x v="8"/>
    <s v="Valor Hora"/>
    <n v="654"/>
    <s v="Conta"/>
    <s v="Pago "/>
  </r>
  <r>
    <n v="3"/>
    <x v="68"/>
    <s v="simone"/>
    <n v="4"/>
    <s v="invoice"/>
    <n v="28"/>
    <n v="112"/>
    <m/>
    <m/>
    <m/>
    <m/>
    <n v="0"/>
    <x v="9"/>
    <s v="Hora Fixa"/>
    <n v="548"/>
    <s v="Cash"/>
    <s v="Pago "/>
  </r>
  <r>
    <n v="3"/>
    <x v="69"/>
    <s v="daniela"/>
    <n v="8"/>
    <s v="invoice"/>
    <n v="28"/>
    <n v="224"/>
    <m/>
    <m/>
    <m/>
    <m/>
    <n v="0"/>
    <x v="2"/>
    <s v="Hora Fixa"/>
    <n v="516"/>
    <s v="Cash"/>
    <s v="Pago "/>
  </r>
  <r>
    <n v="3"/>
    <x v="70"/>
    <s v="elvis "/>
    <n v="7"/>
    <s v="invoice"/>
    <n v="28"/>
    <n v="196"/>
    <m/>
    <m/>
    <m/>
    <m/>
    <n v="0"/>
    <x v="10"/>
    <m/>
    <m/>
    <m/>
    <m/>
  </r>
  <r>
    <n v="4"/>
    <x v="71"/>
    <s v="elvis "/>
    <n v="1"/>
    <s v="cash"/>
    <n v="28"/>
    <n v="28"/>
    <m/>
    <m/>
    <m/>
    <m/>
    <n v="0"/>
    <x v="0"/>
    <s v="Hora Fixa"/>
    <n v="700"/>
    <s v="Conta"/>
    <s v="Pago "/>
  </r>
  <r>
    <n v="4"/>
    <x v="72"/>
    <s v="simone"/>
    <n v="4"/>
    <s v="invoice"/>
    <n v="28"/>
    <n v="112"/>
    <m/>
    <m/>
    <m/>
    <m/>
    <n v="0"/>
    <x v="1"/>
    <s v="Hora Fixa"/>
    <n v="640"/>
    <s v="Conta"/>
    <s v="Pago "/>
  </r>
  <r>
    <n v="4"/>
    <x v="73"/>
    <s v="simone"/>
    <n v="8"/>
    <s v="invoice"/>
    <n v="28"/>
    <n v="224"/>
    <m/>
    <m/>
    <m/>
    <m/>
    <n v="0"/>
    <x v="11"/>
    <s v="Valor Hora"/>
    <n v="641"/>
    <s v="Cash"/>
    <s v="Pago "/>
  </r>
  <r>
    <n v="4"/>
    <x v="74"/>
    <s v="daniela"/>
    <n v="6"/>
    <s v="invoice"/>
    <n v="28"/>
    <n v="168"/>
    <m/>
    <m/>
    <m/>
    <m/>
    <n v="0"/>
    <x v="2"/>
    <s v="Hora Fixa"/>
    <n v="659"/>
    <s v="Conta"/>
    <s v="Pago "/>
  </r>
  <r>
    <n v="4"/>
    <x v="75"/>
    <s v="daniela"/>
    <n v="7"/>
    <s v="invoice"/>
    <n v="28"/>
    <n v="196"/>
    <m/>
    <m/>
    <m/>
    <m/>
    <n v="0"/>
    <x v="3"/>
    <s v="Hora Fixa"/>
    <n v="641"/>
    <s v="Conta"/>
    <s v="Pago "/>
  </r>
  <r>
    <n v="4"/>
    <x v="76"/>
    <s v="elvis "/>
    <n v="5"/>
    <s v="invoice"/>
    <n v="28"/>
    <n v="140"/>
    <m/>
    <m/>
    <m/>
    <m/>
    <n v="0"/>
    <x v="4"/>
    <s v="Hora Fixa"/>
    <n v="638"/>
    <s v="Conta"/>
    <s v="Pago "/>
  </r>
  <r>
    <n v="4"/>
    <x v="77"/>
    <s v="simone"/>
    <n v="12"/>
    <s v="invoice"/>
    <n v="28"/>
    <n v="336"/>
    <m/>
    <m/>
    <m/>
    <m/>
    <n v="0"/>
    <x v="5"/>
    <s v="Hora Fixa"/>
    <n v="1698"/>
    <s v="Conta"/>
    <s v="Pago "/>
  </r>
  <r>
    <n v="4"/>
    <x v="78"/>
    <s v="daniela"/>
    <n v="4"/>
    <s v="invoice"/>
    <n v="28"/>
    <n v="112"/>
    <m/>
    <m/>
    <m/>
    <m/>
    <n v="0"/>
    <x v="6"/>
    <s v="Hora Fixa"/>
    <n v="967"/>
    <s v="Conta"/>
    <s v="Pago "/>
  </r>
  <r>
    <n v="4"/>
    <x v="79"/>
    <s v="elvis "/>
    <n v="12"/>
    <s v="invoice"/>
    <n v="28"/>
    <n v="336"/>
    <m/>
    <m/>
    <m/>
    <m/>
    <n v="0"/>
    <x v="7"/>
    <s v="Hora Fixa"/>
    <n v="612"/>
    <s v="Conta"/>
    <s v="Pago "/>
  </r>
  <r>
    <n v="4"/>
    <x v="80"/>
    <s v="elvis "/>
    <n v="6"/>
    <s v="invoice"/>
    <n v="28"/>
    <n v="168"/>
    <m/>
    <m/>
    <m/>
    <m/>
    <n v="0"/>
    <x v="8"/>
    <s v="Valor Hora"/>
    <n v="165"/>
    <s v="Conta"/>
    <s v="Pago "/>
  </r>
  <r>
    <n v="4"/>
    <x v="81"/>
    <s v="simone"/>
    <n v="12"/>
    <s v="invoice"/>
    <n v="28"/>
    <n v="336"/>
    <m/>
    <m/>
    <m/>
    <m/>
    <n v="0"/>
    <x v="9"/>
    <s v="Hora Fixa"/>
    <n v="987"/>
    <s v="Cash"/>
    <s v="Pago "/>
  </r>
  <r>
    <n v="4"/>
    <x v="82"/>
    <s v="daniela"/>
    <n v="10"/>
    <s v="invoice"/>
    <n v="28"/>
    <n v="280"/>
    <m/>
    <m/>
    <m/>
    <m/>
    <n v="0"/>
    <x v="2"/>
    <s v="Hora Fixa"/>
    <n v="652"/>
    <s v="Cash"/>
    <s v="Pago "/>
  </r>
  <r>
    <n v="4"/>
    <x v="83"/>
    <s v="elvis "/>
    <n v="9"/>
    <s v="invoice"/>
    <n v="28"/>
    <n v="252"/>
    <m/>
    <m/>
    <m/>
    <m/>
    <n v="0"/>
    <x v="10"/>
    <m/>
    <m/>
    <m/>
    <m/>
  </r>
  <r>
    <n v="1"/>
    <x v="84"/>
    <s v="elvis "/>
    <n v="4"/>
    <s v="cash"/>
    <n v="28"/>
    <n v="112"/>
    <m/>
    <m/>
    <m/>
    <m/>
    <n v="0"/>
    <x v="0"/>
    <s v="Hora Fixa"/>
    <n v="500"/>
    <s v="Conta"/>
    <s v="Pago "/>
  </r>
  <r>
    <n v="1"/>
    <x v="85"/>
    <s v="simone"/>
    <n v="8"/>
    <s v="invoice"/>
    <n v="28"/>
    <n v="224"/>
    <m/>
    <m/>
    <m/>
    <m/>
    <n v="0"/>
    <x v="1"/>
    <s v="Hora Fixa"/>
    <n v="582"/>
    <s v="Conta"/>
    <s v="Pago "/>
  </r>
  <r>
    <n v="1"/>
    <x v="86"/>
    <s v="simone"/>
    <n v="7"/>
    <s v="invoice"/>
    <n v="28"/>
    <n v="196"/>
    <m/>
    <m/>
    <m/>
    <m/>
    <n v="0"/>
    <x v="11"/>
    <s v="Valor Hora"/>
    <n v="592"/>
    <s v="Cash"/>
    <s v="Pago "/>
  </r>
  <r>
    <n v="1"/>
    <x v="87"/>
    <s v="daniela"/>
    <n v="5"/>
    <s v="invoice"/>
    <n v="28"/>
    <n v="140"/>
    <m/>
    <m/>
    <m/>
    <m/>
    <n v="0"/>
    <x v="2"/>
    <s v="Hora Fixa"/>
    <n v="189"/>
    <s v="Conta"/>
    <s v="Pago "/>
  </r>
  <r>
    <n v="1"/>
    <x v="88"/>
    <s v="daniela"/>
    <n v="7"/>
    <s v="invoice"/>
    <n v="28"/>
    <n v="196"/>
    <m/>
    <m/>
    <m/>
    <m/>
    <n v="0"/>
    <x v="3"/>
    <s v="Hora Fixa"/>
    <n v="158"/>
    <s v="Conta"/>
    <s v="Pago "/>
  </r>
  <r>
    <n v="1"/>
    <x v="89"/>
    <s v="elvis "/>
    <n v="8"/>
    <s v="invoice"/>
    <n v="28"/>
    <n v="224"/>
    <m/>
    <m/>
    <m/>
    <m/>
    <n v="0"/>
    <x v="4"/>
    <s v="Hora Fixa"/>
    <n v="876"/>
    <s v="Conta"/>
    <s v="Pago "/>
  </r>
  <r>
    <n v="1"/>
    <x v="90"/>
    <s v="simone"/>
    <n v="9"/>
    <s v="invoice"/>
    <n v="28"/>
    <n v="252"/>
    <m/>
    <m/>
    <m/>
    <m/>
    <n v="0"/>
    <x v="5"/>
    <s v="Hora Fixa"/>
    <n v="487"/>
    <s v="Conta"/>
    <s v="Pago "/>
  </r>
  <r>
    <n v="1"/>
    <x v="91"/>
    <s v="daniela"/>
    <n v="10"/>
    <s v="invoice"/>
    <n v="28"/>
    <n v="280"/>
    <m/>
    <m/>
    <m/>
    <m/>
    <n v="0"/>
    <x v="6"/>
    <s v="Hora Fixa"/>
    <n v="163"/>
    <s v="Conta"/>
    <s v="Pago "/>
  </r>
  <r>
    <n v="1"/>
    <x v="92"/>
    <s v="elvis "/>
    <n v="13"/>
    <s v="invoice"/>
    <n v="28"/>
    <n v="364"/>
    <m/>
    <m/>
    <m/>
    <m/>
    <n v="0"/>
    <x v="7"/>
    <s v="Hora Fixa"/>
    <n v="158"/>
    <s v="Conta"/>
    <s v="Pago "/>
  </r>
  <r>
    <n v="1"/>
    <x v="93"/>
    <s v="elvis "/>
    <n v="11"/>
    <s v="invoice"/>
    <n v="28"/>
    <n v="308"/>
    <m/>
    <m/>
    <m/>
    <m/>
    <n v="0"/>
    <x v="8"/>
    <s v="Valor Hora"/>
    <n v="481"/>
    <s v="Conta"/>
    <s v="Pago "/>
  </r>
  <r>
    <n v="1"/>
    <x v="94"/>
    <s v="simone"/>
    <n v="4"/>
    <s v="invoice"/>
    <n v="28"/>
    <n v="112"/>
    <m/>
    <m/>
    <m/>
    <m/>
    <n v="0"/>
    <x v="9"/>
    <s v="Hora Fixa"/>
    <n v="154"/>
    <s v="Cash"/>
    <s v="Pago "/>
  </r>
  <r>
    <n v="1"/>
    <x v="95"/>
    <s v="daniela"/>
    <n v="5"/>
    <s v="invoice"/>
    <n v="28"/>
    <n v="140"/>
    <m/>
    <m/>
    <m/>
    <m/>
    <n v="0"/>
    <x v="2"/>
    <s v="Hora Fixa"/>
    <n v="157"/>
    <s v="Cash"/>
    <s v="Pago "/>
  </r>
  <r>
    <n v="1"/>
    <x v="96"/>
    <s v="elvis "/>
    <n v="9"/>
    <s v="invoice"/>
    <n v="28"/>
    <n v="252"/>
    <m/>
    <m/>
    <m/>
    <m/>
    <n v="0"/>
    <x v="10"/>
    <m/>
    <m/>
    <m/>
    <m/>
  </r>
  <r>
    <m/>
    <x v="97"/>
    <m/>
    <m/>
    <m/>
    <m/>
    <m/>
    <m/>
    <m/>
    <m/>
    <m/>
    <m/>
    <x v="10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D53996-EFB3-4469-89F8-ED351AEF9F21}" name="Tabela dinâmica6" cacheId="1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12">
  <location ref="R6:R26" firstHeaderRow="1" firstDataRow="1" firstDataCol="1"/>
  <pivotFields count="18">
    <pivotField showAll="0"/>
    <pivotField axis="axisRow" showAll="0">
      <items count="99">
        <item x="0"/>
        <item x="1"/>
        <item x="2"/>
        <item x="3"/>
        <item x="4"/>
        <item x="5"/>
        <item x="6"/>
        <item x="97"/>
        <item x="37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</pivotFields>
  <rowFields count="1">
    <field x="1"/>
  </rowFields>
  <rowItems count="20">
    <i>
      <x v="1"/>
    </i>
    <i>
      <x v="2"/>
    </i>
    <i>
      <x v="3"/>
    </i>
    <i>
      <x v="4"/>
    </i>
    <i>
      <x v="5"/>
    </i>
    <i>
      <x v="6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 t="grand">
      <x/>
    </i>
  </rowItems>
  <colItems count="1">
    <i/>
  </colItems>
  <formats count="1">
    <format dxfId="7">
      <pivotArea dataOnly="0" labelOnly="1" outline="0" axis="axisValues" fieldPosition="0"/>
    </format>
  </formats>
  <pivotTableStyleInfo name="PivotStyleLight16" showRowHeaders="1" showColHeaders="1" showRowStripes="0" showColStripes="0" showLastColumn="1"/>
  <filters count="1">
    <filter fld="1" type="dateBetween" evalOrder="-1" id="11" name="Data">
      <autoFilter ref="A1">
        <filterColumn colId="0">
          <customFilters and="1">
            <customFilter operator="greaterThanOrEqual" val="45748"/>
            <customFilter operator="lessThanOrEqual" val="4577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5D0FFB9-360D-4A59-8DBB-C350B787A556}" name="Tabela dinâmica5" cacheId="1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18">
  <location ref="L5:M25" firstHeaderRow="1" firstDataRow="1" firstDataCol="1"/>
  <pivotFields count="18">
    <pivotField showAll="0"/>
    <pivotField axis="axisRow" showAll="0">
      <items count="99">
        <item x="0"/>
        <item x="1"/>
        <item x="2"/>
        <item x="3"/>
        <item x="4"/>
        <item x="5"/>
        <item x="6"/>
        <item x="97"/>
        <item x="37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</pivotFields>
  <rowFields count="1">
    <field x="1"/>
  </rowFields>
  <rowItems count="20">
    <i>
      <x v="1"/>
    </i>
    <i>
      <x v="2"/>
    </i>
    <i>
      <x v="3"/>
    </i>
    <i>
      <x v="4"/>
    </i>
    <i>
      <x v="5"/>
    </i>
    <i>
      <x v="6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 t="grand">
      <x/>
    </i>
  </rowItems>
  <colItems count="1">
    <i/>
  </colItems>
  <dataFields count="1">
    <dataField name="Soma de Pgto Funcionario" fld="6" baseField="0" baseItem="0"/>
  </dataFields>
  <formats count="1">
    <format dxfId="8">
      <pivotArea dataOnly="0" labelOnly="1" outline="0" axis="axisValues" fieldPosition="0"/>
    </format>
  </formats>
  <chartFormats count="2">
    <chartFormat chart="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dateBetween" evalOrder="-1" id="11" name="Data">
      <autoFilter ref="A1">
        <filterColumn colId="0">
          <customFilters and="1">
            <customFilter operator="greaterThanOrEqual" val="45748"/>
            <customFilter operator="lessThanOrEqual" val="4577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7B900B8-3626-4E7F-902E-3CC47D5D93A4}" name="Tabela dinâmica3" cacheId="1" dataOnRows="1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22">
  <location ref="I4:J7" firstHeaderRow="1" firstDataRow="1" firstDataCol="1"/>
  <pivotFields count="18">
    <pivotField showAll="0"/>
    <pivotField showAll="0">
      <items count="9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ataField="1" dragToRow="0" dragToCol="0" dragToPage="0" showAll="0" defaultSubtotal="0"/>
  </pivotFields>
  <rowFields count="1">
    <field x="-2"/>
  </rowFields>
  <rowItems count="3">
    <i>
      <x/>
    </i>
    <i i="1">
      <x v="1"/>
    </i>
    <i i="2">
      <x v="2"/>
    </i>
  </rowItems>
  <colItems count="1">
    <i/>
  </colItems>
  <dataFields count="3">
    <dataField name="Lucro Total" fld="17" baseField="0" baseItem="0"/>
    <dataField name="Custos Total" fld="11" baseField="0" baseItem="0"/>
    <dataField name="Custo Funcionario" fld="6" baseField="0" baseItem="0"/>
  </dataFields>
  <chartFormats count="4"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2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4" format="3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dateBetween" evalOrder="-1" id="12" name="Data">
      <autoFilter ref="A1">
        <filterColumn colId="0">
          <customFilters and="1">
            <customFilter operator="greaterThanOrEqual" val="45748"/>
            <customFilter operator="lessThanOrEqual" val="4577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04DD5F7-1793-4367-8148-DFD227D9966A}" name="Tabela dinâmica2" cacheId="1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12">
  <location ref="E4:F17" firstHeaderRow="1" firstDataRow="1" firstDataCol="1"/>
  <pivotFields count="18">
    <pivotField showAll="0"/>
    <pivotField showAll="0">
      <items count="9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13">
        <item x="4"/>
        <item x="1"/>
        <item x="5"/>
        <item x="9"/>
        <item x="7"/>
        <item x="2"/>
        <item x="0"/>
        <item x="6"/>
        <item x="3"/>
        <item x="8"/>
        <item x="10"/>
        <item x="11"/>
        <item t="default"/>
      </items>
    </pivotField>
    <pivotField showAll="0"/>
    <pivotField showAll="0"/>
    <pivotField showAll="0"/>
    <pivotField showAll="0"/>
    <pivotField dataField="1" dragToRow="0" dragToCol="0" dragToPage="0" showAll="0" defaultSubtotal="0"/>
  </pivotFields>
  <rowFields count="1">
    <field x="12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Soma de Ganho_Total" fld="17" baseField="0" baseItem="0"/>
  </dataFields>
  <formats count="2">
    <format dxfId="10">
      <pivotArea dataOnly="0" labelOnly="1" outline="0" axis="axisValues" fieldPosition="0"/>
    </format>
    <format dxfId="9">
      <pivotArea collapsedLevelsAreSubtotals="1" fieldPosition="0">
        <references count="1">
          <reference field="12" count="0"/>
        </references>
      </pivotArea>
    </format>
  </formats>
  <chartFormats count="1">
    <chartFormat chart="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dateBetween" evalOrder="-1" id="12" name="Data">
      <autoFilter ref="A1">
        <filterColumn colId="0">
          <customFilters and="1">
            <customFilter operator="greaterThanOrEqual" val="45748"/>
            <customFilter operator="lessThanOrEqual" val="4577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61F836-98B3-4A00-9D23-9CA5396F911D}" name="Tabela dinâmica2" cacheId="0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4">
  <location ref="E2:G11" firstHeaderRow="0" firstDataRow="1" firstDataCol="1"/>
  <pivotFields count="20">
    <pivotField showAll="0"/>
    <pivotField showAll="0">
      <items count="99">
        <item x="0"/>
        <item x="1"/>
        <item x="2"/>
        <item x="3"/>
        <item x="4"/>
        <item x="5"/>
        <item x="6"/>
        <item x="37"/>
        <item x="97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  <item t="default"/>
      </items>
    </pivotField>
    <pivotField axis="axisRow" showAll="0">
      <items count="15">
        <item h="1"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dragToRow="0" dragToCol="0" dragToPage="0" showAll="0" defaultSubtotal="0"/>
  </pivotFields>
  <rowFields count="1">
    <field x="18"/>
  </rowFields>
  <rowItems count="9"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Custos Tot" fld="11" baseField="0" baseItem="0"/>
    <dataField name="Soma de Pgto Funcionario" fld="6" baseField="0" baseItem="0" numFmtId="2"/>
  </dataFields>
  <formats count="1">
    <format dxfId="2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42A84CD-7E32-4768-8BC0-79D225642BD1}" name="Tabela dinâmica1" cacheId="0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8">
  <location ref="B2:C8" firstHeaderRow="1" firstDataRow="1" firstDataCol="1"/>
  <pivotFields count="20">
    <pivotField showAll="0"/>
    <pivotField showAll="0">
      <items count="99">
        <item x="0"/>
        <item x="1"/>
        <item x="2"/>
        <item x="3"/>
        <item x="4"/>
        <item x="5"/>
        <item x="6"/>
        <item x="37"/>
        <item x="97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measureFilter="1" sortType="ascending">
      <items count="13">
        <item x="4"/>
        <item x="1"/>
        <item x="5"/>
        <item x="9"/>
        <item x="7"/>
        <item x="2"/>
        <item x="0"/>
        <item x="6"/>
        <item x="3"/>
        <item x="8"/>
        <item x="10"/>
        <item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dataField="1"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dragToRow="0" dragToCol="0" dragToPage="0" showAll="0" defaultSubtotal="0"/>
  </pivotFields>
  <rowFields count="1">
    <field x="12"/>
  </rowFields>
  <rowItems count="6">
    <i>
      <x v="4"/>
    </i>
    <i>
      <x v="2"/>
    </i>
    <i>
      <x v="5"/>
    </i>
    <i>
      <x v="9"/>
    </i>
    <i>
      <x v="3"/>
    </i>
    <i t="grand">
      <x/>
    </i>
  </rowItems>
  <colItems count="1">
    <i/>
  </colItems>
  <dataFields count="1">
    <dataField name="Soma de Pgto" fld="14" baseField="0" baseItem="0" numFmtId="2"/>
  </dataFields>
  <formats count="1">
    <format dxfId="3">
      <pivotArea outline="0" collapsedLevelsAreSubtotals="1" fieldPosition="0"/>
    </format>
  </formats>
  <chartFormats count="2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2" type="count" evalOrder="-1" id="47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2317767-7CDF-4C3E-A885-CEE6632A2FCB}" name="Tabela dinâmica5" cacheId="0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6">
  <location ref="O2:P11" firstHeaderRow="1" firstDataRow="1" firstDataCol="1"/>
  <pivotFields count="20">
    <pivotField showAll="0"/>
    <pivotField showAll="0">
      <items count="99">
        <item x="0"/>
        <item x="1"/>
        <item x="2"/>
        <item x="3"/>
        <item x="4"/>
        <item x="5"/>
        <item x="6"/>
        <item x="37"/>
        <item x="97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>
      <items count="36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</items>
    </pivotField>
    <pivotField axis="axisRow" showAll="0" defaultSubtotal="0">
      <items count="14">
        <item h="1"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dragToRow="0" dragToCol="0" dragToPage="0" showAll="0" defaultSubtotal="0"/>
  </pivotFields>
  <rowFields count="1">
    <field x="18"/>
  </rowFields>
  <rowItems count="9"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Items count="1">
    <i/>
  </colItems>
  <dataFields count="1">
    <dataField name="Soma de Pgto Funcionario" fld="6" baseField="0" baseItem="0" numFmtId="2"/>
  </dataFields>
  <formats count="1">
    <format dxfId="4">
      <pivotArea outline="0" collapsedLevelsAreSubtotals="1" fieldPosition="0"/>
    </format>
  </formats>
  <chartFormats count="4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8B3B939-F530-4D59-A4FB-76B6FA35F673}" name="Tabela dinâmica4" cacheId="0" dataOnRows="1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28">
  <location ref="L2:M5" firstHeaderRow="1" firstDataRow="1" firstDataCol="1"/>
  <pivotFields count="20">
    <pivotField showAll="0"/>
    <pivotField showAll="0">
      <items count="99">
        <item x="0"/>
        <item x="1"/>
        <item x="2"/>
        <item x="3"/>
        <item x="4"/>
        <item x="5"/>
        <item x="6"/>
        <item x="37"/>
        <item x="97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dataField="1" dragToRow="0" dragToCol="0" dragToPage="0" showAll="0" defaultSubtotal="0"/>
  </pivotFields>
  <rowFields count="1">
    <field x="-2"/>
  </rowFields>
  <rowItems count="3">
    <i>
      <x/>
    </i>
    <i i="1">
      <x v="1"/>
    </i>
    <i i="2">
      <x v="2"/>
    </i>
  </rowItems>
  <colItems count="1">
    <i/>
  </colItems>
  <dataFields count="3">
    <dataField name="Custos Total" fld="11" baseField="0" baseItem="0" numFmtId="2"/>
    <dataField name="Custo Funcionario" fld="6" baseField="0" baseItem="0"/>
    <dataField name="Lucro Total" fld="19" baseField="0" baseItem="0"/>
  </dataFields>
  <formats count="1">
    <format dxfId="5">
      <pivotArea outline="0" collapsedLevelsAreSubtotals="1" fieldPosition="0"/>
    </format>
  </formats>
  <chartFormats count="20"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5" format="2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3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5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6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6" format="7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7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9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10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1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8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9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10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8" format="1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7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7" format="9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7" format="10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7" format="1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6AEBE4C-08CD-43BF-8146-8FC0BEE09548}" name="Tabela dinâmica3" cacheId="0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I2:J11" firstHeaderRow="1" firstDataRow="1" firstDataCol="1"/>
  <pivotFields count="20">
    <pivotField showAll="0"/>
    <pivotField showAll="0">
      <items count="99">
        <item x="0"/>
        <item x="1"/>
        <item x="2"/>
        <item x="3"/>
        <item x="4"/>
        <item x="5"/>
        <item x="6"/>
        <item x="37"/>
        <item x="97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 defaultSubtotal="0">
      <items count="36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</items>
    </pivotField>
    <pivotField axis="axisRow" showAll="0" defaultSubtotal="0">
      <items count="14">
        <item h="1" sd="0" x="0"/>
        <item sd="0" x="1"/>
        <item sd="0" x="2"/>
        <item sd="0" x="3"/>
        <item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dragToRow="0" dragToCol="0" dragToPage="0" showAll="0" defaultSubtotal="0"/>
  </pivotFields>
  <rowFields count="1">
    <field x="18"/>
  </rowFields>
  <rowItems count="9"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Items count="1">
    <i/>
  </colItems>
  <dataFields count="1">
    <dataField name="Soma de Pgto" fld="14" baseField="0" baseItem="0" numFmtId="2"/>
  </dataFields>
  <formats count="1">
    <format dxfId="6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a" xr10:uid="{2ED4939C-C39C-4F99-B5E8-8659C499D5ED}" sourceName="Data">
  <pivotTables>
    <pivotTable tabId="9" name="Tabela dinâmica6"/>
    <pivotTable tabId="9" name="Tabela dinâmica2"/>
    <pivotTable tabId="9" name="Tabela dinâmica3"/>
    <pivotTable tabId="9" name="Tabela dinâmica5"/>
  </pivotTables>
  <state minimalRefreshVersion="6" lastRefreshVersion="6" pivotCacheId="1028873621" filterType="dateBetween">
    <selection startDate="2025-04-01T00:00:00" endDate="2025-04-30T00:00:00"/>
    <bounds startDate="2025-01-01T00:00:00" endDate="2026-01-01T00:00:00"/>
  </state>
</timelineCacheDefinition>
</file>

<file path=xl/timelineCaches/timelineCache2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a1" xr10:uid="{0FB664E4-439B-41B3-B6EF-93976058E36D}" sourceName="Data">
  <pivotTables>
    <pivotTable tabId="14" name="Tabela dinâmica1"/>
    <pivotTable tabId="14" name="Tabela dinâmica2"/>
    <pivotTable tabId="14" name="Tabela dinâmica3"/>
    <pivotTable tabId="14" name="Tabela dinâmica4"/>
    <pivotTable tabId="14" name="Tabela dinâmica5"/>
  </pivotTables>
  <state minimalRefreshVersion="6" lastRefreshVersion="6" pivotCacheId="1048188393" filterType="unknown">
    <bounds startDate="2025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a 3" xr10:uid="{5B9E76EC-537C-4B65-9A0B-A3EBB24B7D0E}" cache="NativeTimeline_Data1" caption="" showHorizontalScrollbar="0" level="2" selectionLevel="2" scrollPosition="2025-04-02T00:00:00"/>
</timelines>
</file>

<file path=xl/timelines/timeline2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a" xr10:uid="{07B34BD0-9702-4A88-BA54-1878B4DA2DC9}" cache="NativeTimeline_Data" caption="" showHorizontalScrollbar="0" level="2" selectionLevel="2" scrollPosition="2025-01-01T00:00:00"/>
</timelines>
</file>

<file path=xl/timelines/timeline3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a 1" xr10:uid="{D6A2A77B-47C1-4260-A330-F454D1BE8ED6}" cache="NativeTimeline_Data1" caption="" level="2" selectionLevel="2" scrollPosition="2025-01-01T00:00:00"/>
</timelines>
</file>

<file path=xl/worksheets/_rels/sheet1.xml.rels><?xml version="1.0" encoding="UTF-8" standalone="yes"?>
<Relationships xmlns="http://schemas.openxmlformats.org/package/2006/relationships"><Relationship Id="rId2" Type="http://schemas.microsoft.com/office/2011/relationships/timeline" Target="../timelines/timelin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email2@gmail.com" TargetMode="External"/><Relationship Id="rId13" Type="http://schemas.openxmlformats.org/officeDocument/2006/relationships/hyperlink" Target="mailto:email3@gmail.com" TargetMode="External"/><Relationship Id="rId18" Type="http://schemas.openxmlformats.org/officeDocument/2006/relationships/hyperlink" Target="mailto:email2@gmail.com" TargetMode="External"/><Relationship Id="rId3" Type="http://schemas.openxmlformats.org/officeDocument/2006/relationships/hyperlink" Target="mailto:email3@gmail.com" TargetMode="External"/><Relationship Id="rId7" Type="http://schemas.openxmlformats.org/officeDocument/2006/relationships/hyperlink" Target="mailto:email3@gmail.com" TargetMode="External"/><Relationship Id="rId12" Type="http://schemas.openxmlformats.org/officeDocument/2006/relationships/hyperlink" Target="mailto:email2@gmail.com" TargetMode="External"/><Relationship Id="rId17" Type="http://schemas.openxmlformats.org/officeDocument/2006/relationships/hyperlink" Target="mailto:email3@gmail.com" TargetMode="External"/><Relationship Id="rId2" Type="http://schemas.openxmlformats.org/officeDocument/2006/relationships/hyperlink" Target="mailto:email2@gmail.com" TargetMode="External"/><Relationship Id="rId16" Type="http://schemas.openxmlformats.org/officeDocument/2006/relationships/hyperlink" Target="mailto:email2@gmail.com" TargetMode="External"/><Relationship Id="rId20" Type="http://schemas.openxmlformats.org/officeDocument/2006/relationships/hyperlink" Target="mailto:email2@gmail.com" TargetMode="External"/><Relationship Id="rId1" Type="http://schemas.openxmlformats.org/officeDocument/2006/relationships/hyperlink" Target="mailto:email@gmail.com" TargetMode="External"/><Relationship Id="rId6" Type="http://schemas.openxmlformats.org/officeDocument/2006/relationships/hyperlink" Target="mailto:email2@gmail.com" TargetMode="External"/><Relationship Id="rId11" Type="http://schemas.openxmlformats.org/officeDocument/2006/relationships/hyperlink" Target="mailto:email@gmail.com" TargetMode="External"/><Relationship Id="rId5" Type="http://schemas.openxmlformats.org/officeDocument/2006/relationships/hyperlink" Target="mailto:email@gmail.com" TargetMode="External"/><Relationship Id="rId15" Type="http://schemas.openxmlformats.org/officeDocument/2006/relationships/hyperlink" Target="mailto:email@gmail.com" TargetMode="External"/><Relationship Id="rId10" Type="http://schemas.openxmlformats.org/officeDocument/2006/relationships/hyperlink" Target="mailto:email2@gmail.com" TargetMode="External"/><Relationship Id="rId19" Type="http://schemas.openxmlformats.org/officeDocument/2006/relationships/hyperlink" Target="mailto:email3@gmail.com" TargetMode="External"/><Relationship Id="rId4" Type="http://schemas.openxmlformats.org/officeDocument/2006/relationships/hyperlink" Target="mailto:email2@gmail.com" TargetMode="External"/><Relationship Id="rId9" Type="http://schemas.openxmlformats.org/officeDocument/2006/relationships/hyperlink" Target="mailto:email3@gmail.com" TargetMode="External"/><Relationship Id="rId14" Type="http://schemas.openxmlformats.org/officeDocument/2006/relationships/hyperlink" Target="mailto:email2@gmail.com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microsoft.com/office/2011/relationships/timeline" Target="../timelines/timeline2.xml"/><Relationship Id="rId5" Type="http://schemas.openxmlformats.org/officeDocument/2006/relationships/drawing" Target="../drawings/drawing3.xml"/><Relationship Id="rId4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7.xml"/><Relationship Id="rId7" Type="http://schemas.microsoft.com/office/2011/relationships/timeline" Target="../timelines/timeline3.xml"/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Relationship Id="rId6" Type="http://schemas.openxmlformats.org/officeDocument/2006/relationships/drawing" Target="../drawings/drawing4.xml"/><Relationship Id="rId5" Type="http://schemas.openxmlformats.org/officeDocument/2006/relationships/pivotTable" Target="../pivotTables/pivotTable9.xml"/><Relationship Id="rId4" Type="http://schemas.openxmlformats.org/officeDocument/2006/relationships/pivotTable" Target="../pivotTables/pivotTable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6FE67-6F46-497F-8DB3-8DC8D0E448B5}">
  <sheetPr>
    <tabColor rgb="FF002060"/>
  </sheetPr>
  <dimension ref="A1:V1"/>
  <sheetViews>
    <sheetView showGridLines="0" tabSelected="1" zoomScale="88" workbookViewId="0">
      <selection activeCell="S1" sqref="S1:V1048576"/>
    </sheetView>
  </sheetViews>
  <sheetFormatPr defaultColWidth="0" defaultRowHeight="15" x14ac:dyDescent="0.25"/>
  <cols>
    <col min="1" max="18" width="9.140625" customWidth="1"/>
    <col min="19" max="22" width="9.140625" hidden="1" customWidth="1"/>
  </cols>
  <sheetData/>
  <pageMargins left="0.511811024" right="0.511811024" top="0.78740157499999996" bottom="0.78740157499999996" header="0.31496062000000002" footer="0.31496062000000002"/>
  <drawing r:id="rId1"/>
  <extLst>
    <ext xmlns:x15="http://schemas.microsoft.com/office/spreadsheetml/2010/11/main" uri="{7E03D99C-DC04-49d9-9315-930204A7B6E9}">
      <x15:timelineRefs>
        <x15:timelineRef r:id="rId2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7C5D06-FFCD-4201-A2BF-4DC17AF82E9C}">
  <sheetPr codeName="Planilha2"/>
  <dimension ref="A1:S40"/>
  <sheetViews>
    <sheetView showGridLines="0" workbookViewId="0">
      <selection activeCell="A2" sqref="A2"/>
    </sheetView>
  </sheetViews>
  <sheetFormatPr defaultRowHeight="15" x14ac:dyDescent="0.25"/>
  <cols>
    <col min="1" max="1" width="19.42578125" customWidth="1"/>
    <col min="2" max="2" width="10.140625" customWidth="1"/>
    <col min="3" max="3" width="14.42578125" customWidth="1"/>
    <col min="4" max="4" width="12" customWidth="1"/>
    <col min="5" max="5" width="10.42578125" customWidth="1"/>
    <col min="6" max="6" width="9.28515625" bestFit="1" customWidth="1"/>
    <col min="7" max="7" width="9.5703125" bestFit="1" customWidth="1"/>
    <col min="8" max="8" width="15.85546875" customWidth="1"/>
    <col min="9" max="9" width="17.42578125" customWidth="1"/>
    <col min="10" max="10" width="13.7109375" customWidth="1"/>
    <col min="11" max="11" width="12.85546875" customWidth="1"/>
    <col min="12" max="12" width="11.5703125" customWidth="1"/>
    <col min="13" max="13" width="11.28515625" customWidth="1"/>
    <col min="14" max="14" width="15.5703125" style="5" customWidth="1"/>
    <col min="15" max="15" width="10.5703125" style="5" customWidth="1"/>
    <col min="16" max="16" width="11.28515625" bestFit="1" customWidth="1"/>
    <col min="17" max="17" width="10.140625" style="1" customWidth="1"/>
    <col min="18" max="18" width="9.28515625" customWidth="1"/>
  </cols>
  <sheetData>
    <row r="1" spans="1:19" x14ac:dyDescent="0.25">
      <c r="N1"/>
      <c r="O1"/>
      <c r="Q1"/>
    </row>
    <row r="2" spans="1:19" x14ac:dyDescent="0.25">
      <c r="N2"/>
      <c r="O2"/>
      <c r="Q2"/>
      <c r="R2" s="39"/>
    </row>
    <row r="3" spans="1:19" x14ac:dyDescent="0.25">
      <c r="A3" s="45" t="s">
        <v>67</v>
      </c>
      <c r="B3" s="50" t="s">
        <v>60</v>
      </c>
      <c r="C3" s="50" t="s">
        <v>45</v>
      </c>
      <c r="D3" s="50" t="s">
        <v>65</v>
      </c>
      <c r="E3" s="50" t="s">
        <v>42</v>
      </c>
      <c r="F3" s="50" t="s">
        <v>62</v>
      </c>
      <c r="G3" s="50" t="s">
        <v>48</v>
      </c>
      <c r="H3" s="50" t="s">
        <v>63</v>
      </c>
      <c r="I3" s="46" t="s">
        <v>22</v>
      </c>
      <c r="J3" s="15" t="s">
        <v>23</v>
      </c>
      <c r="K3" s="15" t="s">
        <v>24</v>
      </c>
      <c r="L3" s="15" t="s">
        <v>25</v>
      </c>
      <c r="M3" s="15" t="s">
        <v>68</v>
      </c>
      <c r="N3" s="29" t="s">
        <v>49</v>
      </c>
      <c r="O3" s="29" t="s">
        <v>62</v>
      </c>
      <c r="P3" s="29" t="s">
        <v>64</v>
      </c>
      <c r="Q3" s="30" t="s">
        <v>62</v>
      </c>
      <c r="R3" s="30" t="s">
        <v>64</v>
      </c>
    </row>
    <row r="4" spans="1:19" x14ac:dyDescent="0.25">
      <c r="A4" s="44">
        <f>SUMIF($R:$R,Apoio!A5,$P:$P)</f>
        <v>4497</v>
      </c>
      <c r="B4" s="51">
        <v>1</v>
      </c>
      <c r="C4" s="52">
        <v>45931</v>
      </c>
      <c r="D4" s="51" t="s">
        <v>39</v>
      </c>
      <c r="E4" s="51">
        <v>4</v>
      </c>
      <c r="F4" s="51" t="s">
        <v>40</v>
      </c>
      <c r="G4" s="53">
        <v>28</v>
      </c>
      <c r="H4" s="54">
        <f>E4*G4</f>
        <v>112</v>
      </c>
      <c r="I4" s="47"/>
      <c r="J4" s="16"/>
      <c r="K4" s="16"/>
      <c r="L4" s="16"/>
      <c r="M4" s="16">
        <f>SUM(I4:L4)</f>
        <v>0</v>
      </c>
      <c r="N4" s="31" t="s">
        <v>50</v>
      </c>
      <c r="O4" s="32" t="s">
        <v>16</v>
      </c>
      <c r="P4" s="33">
        <v>500</v>
      </c>
      <c r="Q4" s="34" t="s">
        <v>61</v>
      </c>
      <c r="R4" s="32" t="s">
        <v>38</v>
      </c>
    </row>
    <row r="5" spans="1:19" x14ac:dyDescent="0.25">
      <c r="A5" s="45" t="s">
        <v>69</v>
      </c>
      <c r="B5" s="51">
        <v>1</v>
      </c>
      <c r="C5" s="52">
        <v>45932</v>
      </c>
      <c r="D5" s="51" t="s">
        <v>46</v>
      </c>
      <c r="E5" s="51">
        <v>8</v>
      </c>
      <c r="F5" s="51" t="s">
        <v>41</v>
      </c>
      <c r="G5" s="53">
        <v>28</v>
      </c>
      <c r="H5" s="54">
        <f t="shared" ref="H5:H16" si="0">E5*G5</f>
        <v>224</v>
      </c>
      <c r="I5" s="47"/>
      <c r="J5" s="16"/>
      <c r="K5" s="16"/>
      <c r="L5" s="16"/>
      <c r="M5" s="16">
        <f t="shared" ref="M5:M16" si="1">SUM(I5:L5)</f>
        <v>0</v>
      </c>
      <c r="N5" s="31" t="s">
        <v>51</v>
      </c>
      <c r="O5" s="32" t="s">
        <v>16</v>
      </c>
      <c r="P5" s="33">
        <v>582</v>
      </c>
      <c r="Q5" s="34" t="s">
        <v>61</v>
      </c>
      <c r="R5" s="32" t="s">
        <v>38</v>
      </c>
      <c r="S5" s="13"/>
    </row>
    <row r="6" spans="1:19" x14ac:dyDescent="0.25">
      <c r="A6" s="44">
        <f>SUMIF($R:$R,Apoio!A6,$P:$P)</f>
        <v>0</v>
      </c>
      <c r="B6" s="51">
        <v>1</v>
      </c>
      <c r="C6" s="52">
        <v>45933</v>
      </c>
      <c r="D6" s="51" t="s">
        <v>46</v>
      </c>
      <c r="E6" s="51">
        <v>7</v>
      </c>
      <c r="F6" s="51" t="s">
        <v>41</v>
      </c>
      <c r="G6" s="53">
        <v>28</v>
      </c>
      <c r="H6" s="54">
        <f t="shared" si="0"/>
        <v>196</v>
      </c>
      <c r="I6" s="47"/>
      <c r="J6" s="16"/>
      <c r="K6" s="16"/>
      <c r="L6" s="16"/>
      <c r="M6" s="16">
        <f t="shared" si="1"/>
        <v>0</v>
      </c>
      <c r="N6" s="31" t="s">
        <v>80</v>
      </c>
      <c r="O6" s="32" t="s">
        <v>44</v>
      </c>
      <c r="P6" s="33">
        <v>592</v>
      </c>
      <c r="Q6" s="34" t="s">
        <v>8</v>
      </c>
      <c r="R6" s="32" t="s">
        <v>38</v>
      </c>
    </row>
    <row r="7" spans="1:19" x14ac:dyDescent="0.25">
      <c r="A7" s="40" t="s">
        <v>70</v>
      </c>
      <c r="B7" s="51">
        <v>1</v>
      </c>
      <c r="C7" s="52">
        <v>45934</v>
      </c>
      <c r="D7" s="51" t="s">
        <v>47</v>
      </c>
      <c r="E7" s="51">
        <v>5</v>
      </c>
      <c r="F7" s="51" t="s">
        <v>41</v>
      </c>
      <c r="G7" s="53">
        <v>28</v>
      </c>
      <c r="H7" s="54">
        <f t="shared" si="0"/>
        <v>140</v>
      </c>
      <c r="I7" s="47"/>
      <c r="J7" s="16"/>
      <c r="K7" s="16"/>
      <c r="L7" s="16"/>
      <c r="M7" s="16">
        <f t="shared" si="1"/>
        <v>0</v>
      </c>
      <c r="N7" s="31" t="s">
        <v>52</v>
      </c>
      <c r="O7" s="32" t="s">
        <v>16</v>
      </c>
      <c r="P7" s="33">
        <v>189</v>
      </c>
      <c r="Q7" s="34" t="s">
        <v>61</v>
      </c>
      <c r="R7" s="32" t="s">
        <v>38</v>
      </c>
    </row>
    <row r="8" spans="1:19" x14ac:dyDescent="0.25">
      <c r="A8" s="14">
        <f>SUM(H4:H17)</f>
        <v>2800</v>
      </c>
      <c r="B8" s="51">
        <v>1</v>
      </c>
      <c r="C8" s="52">
        <v>45935</v>
      </c>
      <c r="D8" s="51" t="s">
        <v>47</v>
      </c>
      <c r="E8" s="51">
        <v>7</v>
      </c>
      <c r="F8" s="51" t="s">
        <v>41</v>
      </c>
      <c r="G8" s="53">
        <v>28</v>
      </c>
      <c r="H8" s="54">
        <f t="shared" si="0"/>
        <v>196</v>
      </c>
      <c r="I8" s="47"/>
      <c r="J8" s="16"/>
      <c r="K8" s="16"/>
      <c r="L8" s="16"/>
      <c r="M8" s="16">
        <f t="shared" si="1"/>
        <v>0</v>
      </c>
      <c r="N8" s="31" t="s">
        <v>53</v>
      </c>
      <c r="O8" s="32" t="s">
        <v>16</v>
      </c>
      <c r="P8" s="33">
        <v>158</v>
      </c>
      <c r="Q8" s="34" t="s">
        <v>61</v>
      </c>
      <c r="R8" s="32" t="s">
        <v>38</v>
      </c>
    </row>
    <row r="9" spans="1:19" x14ac:dyDescent="0.25">
      <c r="A9" s="41" t="s">
        <v>71</v>
      </c>
      <c r="B9" s="51">
        <v>1</v>
      </c>
      <c r="C9" s="52">
        <v>45936</v>
      </c>
      <c r="D9" s="51" t="s">
        <v>39</v>
      </c>
      <c r="E9" s="51">
        <v>8</v>
      </c>
      <c r="F9" s="51" t="s">
        <v>41</v>
      </c>
      <c r="G9" s="53">
        <v>28</v>
      </c>
      <c r="H9" s="54">
        <f t="shared" si="0"/>
        <v>224</v>
      </c>
      <c r="I9" s="48"/>
      <c r="J9" s="17"/>
      <c r="K9" s="17"/>
      <c r="L9" s="17"/>
      <c r="M9" s="16">
        <f t="shared" si="1"/>
        <v>0</v>
      </c>
      <c r="N9" s="31" t="s">
        <v>54</v>
      </c>
      <c r="O9" s="32" t="s">
        <v>16</v>
      </c>
      <c r="P9" s="33">
        <v>876</v>
      </c>
      <c r="Q9" s="34" t="s">
        <v>61</v>
      </c>
      <c r="R9" s="32" t="s">
        <v>38</v>
      </c>
    </row>
    <row r="10" spans="1:19" x14ac:dyDescent="0.25">
      <c r="A10" s="6">
        <f>SUM(M4:M17)</f>
        <v>0</v>
      </c>
      <c r="B10" s="51">
        <v>1</v>
      </c>
      <c r="C10" s="52">
        <v>45937</v>
      </c>
      <c r="D10" s="51" t="s">
        <v>55</v>
      </c>
      <c r="E10" s="51">
        <v>9</v>
      </c>
      <c r="F10" s="51" t="s">
        <v>41</v>
      </c>
      <c r="G10" s="53">
        <v>28</v>
      </c>
      <c r="H10" s="54">
        <f t="shared" si="0"/>
        <v>252</v>
      </c>
      <c r="I10" s="48"/>
      <c r="J10" s="17"/>
      <c r="K10" s="17"/>
      <c r="L10" s="17"/>
      <c r="M10" s="16">
        <f t="shared" si="1"/>
        <v>0</v>
      </c>
      <c r="N10" s="31" t="s">
        <v>26</v>
      </c>
      <c r="O10" s="32" t="s">
        <v>16</v>
      </c>
      <c r="P10" s="33">
        <v>487</v>
      </c>
      <c r="Q10" s="34" t="s">
        <v>61</v>
      </c>
      <c r="R10" s="35" t="s">
        <v>38</v>
      </c>
    </row>
    <row r="11" spans="1:19" ht="15.75" x14ac:dyDescent="0.25">
      <c r="A11" s="42" t="s">
        <v>59</v>
      </c>
      <c r="B11" s="51">
        <v>1</v>
      </c>
      <c r="C11" s="52">
        <v>45938</v>
      </c>
      <c r="D11" s="51" t="s">
        <v>56</v>
      </c>
      <c r="E11" s="51">
        <v>10</v>
      </c>
      <c r="F11" s="51" t="s">
        <v>41</v>
      </c>
      <c r="G11" s="53">
        <v>28</v>
      </c>
      <c r="H11" s="54">
        <f t="shared" si="0"/>
        <v>280</v>
      </c>
      <c r="I11" s="48"/>
      <c r="J11" s="17"/>
      <c r="K11" s="17"/>
      <c r="L11" s="17"/>
      <c r="M11" s="16">
        <f t="shared" si="1"/>
        <v>0</v>
      </c>
      <c r="N11" s="31" t="s">
        <v>27</v>
      </c>
      <c r="O11" s="32" t="s">
        <v>16</v>
      </c>
      <c r="P11" s="33">
        <v>163</v>
      </c>
      <c r="Q11" s="34" t="s">
        <v>61</v>
      </c>
      <c r="R11" s="35" t="s">
        <v>38</v>
      </c>
    </row>
    <row r="12" spans="1:19" x14ac:dyDescent="0.25">
      <c r="A12" s="43">
        <f>A4-A8-A10</f>
        <v>1697</v>
      </c>
      <c r="B12" s="51">
        <v>1</v>
      </c>
      <c r="C12" s="52">
        <v>45939</v>
      </c>
      <c r="D12" s="51" t="s">
        <v>39</v>
      </c>
      <c r="E12" s="51">
        <v>13</v>
      </c>
      <c r="F12" s="51" t="s">
        <v>41</v>
      </c>
      <c r="G12" s="53">
        <v>28</v>
      </c>
      <c r="H12" s="54">
        <f t="shared" si="0"/>
        <v>364</v>
      </c>
      <c r="I12" s="48"/>
      <c r="J12" s="17"/>
      <c r="K12" s="17"/>
      <c r="L12" s="17"/>
      <c r="M12" s="16">
        <f t="shared" si="1"/>
        <v>0</v>
      </c>
      <c r="N12" s="31" t="s">
        <v>58</v>
      </c>
      <c r="O12" s="32" t="s">
        <v>16</v>
      </c>
      <c r="P12" s="33">
        <v>158</v>
      </c>
      <c r="Q12" s="34" t="s">
        <v>61</v>
      </c>
      <c r="R12" s="35" t="s">
        <v>38</v>
      </c>
    </row>
    <row r="13" spans="1:19" x14ac:dyDescent="0.25">
      <c r="B13" s="51">
        <v>1</v>
      </c>
      <c r="C13" s="52">
        <v>45940</v>
      </c>
      <c r="D13" s="51" t="s">
        <v>39</v>
      </c>
      <c r="E13" s="51">
        <v>11</v>
      </c>
      <c r="F13" s="51" t="s">
        <v>41</v>
      </c>
      <c r="G13" s="53">
        <v>28</v>
      </c>
      <c r="H13" s="54">
        <f t="shared" si="0"/>
        <v>308</v>
      </c>
      <c r="I13" s="49"/>
      <c r="J13" s="18"/>
      <c r="K13" s="18"/>
      <c r="L13" s="18"/>
      <c r="M13" s="16">
        <f t="shared" si="1"/>
        <v>0</v>
      </c>
      <c r="N13" s="32" t="s">
        <v>84</v>
      </c>
      <c r="O13" s="32" t="s">
        <v>44</v>
      </c>
      <c r="P13" s="33">
        <v>481</v>
      </c>
      <c r="Q13" s="34" t="s">
        <v>61</v>
      </c>
      <c r="R13" s="35" t="s">
        <v>38</v>
      </c>
    </row>
    <row r="14" spans="1:19" x14ac:dyDescent="0.25">
      <c r="B14" s="51">
        <v>1</v>
      </c>
      <c r="C14" s="52">
        <v>45941</v>
      </c>
      <c r="D14" s="51" t="s">
        <v>55</v>
      </c>
      <c r="E14" s="51">
        <v>4</v>
      </c>
      <c r="F14" s="51" t="s">
        <v>41</v>
      </c>
      <c r="G14" s="53">
        <v>28</v>
      </c>
      <c r="H14" s="54">
        <f t="shared" si="0"/>
        <v>112</v>
      </c>
      <c r="I14" s="49"/>
      <c r="J14" s="18"/>
      <c r="K14" s="18"/>
      <c r="L14" s="18"/>
      <c r="M14" s="16">
        <f t="shared" si="1"/>
        <v>0</v>
      </c>
      <c r="N14" s="32" t="s">
        <v>79</v>
      </c>
      <c r="O14" s="32" t="s">
        <v>16</v>
      </c>
      <c r="P14" s="33">
        <v>154</v>
      </c>
      <c r="Q14" s="34" t="s">
        <v>8</v>
      </c>
      <c r="R14" s="35" t="s">
        <v>38</v>
      </c>
    </row>
    <row r="15" spans="1:19" x14ac:dyDescent="0.25">
      <c r="B15" s="51">
        <v>1</v>
      </c>
      <c r="C15" s="52">
        <v>45942</v>
      </c>
      <c r="D15" s="51" t="s">
        <v>56</v>
      </c>
      <c r="E15" s="51">
        <v>5</v>
      </c>
      <c r="F15" s="51" t="s">
        <v>41</v>
      </c>
      <c r="G15" s="53">
        <v>28</v>
      </c>
      <c r="H15" s="54">
        <f t="shared" si="0"/>
        <v>140</v>
      </c>
      <c r="I15" s="49"/>
      <c r="J15" s="18"/>
      <c r="K15" s="18"/>
      <c r="L15" s="18"/>
      <c r="M15" s="16">
        <f t="shared" si="1"/>
        <v>0</v>
      </c>
      <c r="N15" s="32" t="s">
        <v>52</v>
      </c>
      <c r="O15" s="32" t="s">
        <v>16</v>
      </c>
      <c r="P15" s="33">
        <v>157</v>
      </c>
      <c r="Q15" s="34" t="s">
        <v>8</v>
      </c>
      <c r="R15" s="35" t="s">
        <v>38</v>
      </c>
    </row>
    <row r="16" spans="1:19" x14ac:dyDescent="0.25">
      <c r="A16" s="38"/>
      <c r="B16" s="51">
        <v>1</v>
      </c>
      <c r="C16" s="52">
        <v>45943</v>
      </c>
      <c r="D16" s="51" t="s">
        <v>39</v>
      </c>
      <c r="E16" s="51">
        <v>9</v>
      </c>
      <c r="F16" s="51" t="s">
        <v>41</v>
      </c>
      <c r="G16" s="53">
        <v>28</v>
      </c>
      <c r="H16" s="54">
        <f t="shared" si="0"/>
        <v>252</v>
      </c>
      <c r="I16" s="49"/>
      <c r="J16" s="18"/>
      <c r="K16" s="18"/>
      <c r="L16" s="18"/>
      <c r="M16" s="16">
        <f t="shared" si="1"/>
        <v>0</v>
      </c>
      <c r="N16" s="32"/>
      <c r="O16" s="32"/>
      <c r="P16" s="33"/>
      <c r="Q16" s="34"/>
      <c r="R16" s="35"/>
    </row>
    <row r="17" spans="1:18" x14ac:dyDescent="0.25">
      <c r="A17" s="37"/>
      <c r="B17" s="51"/>
      <c r="C17" s="52"/>
      <c r="D17" s="51"/>
      <c r="E17" s="51"/>
      <c r="F17" s="51"/>
      <c r="G17" s="53"/>
      <c r="H17" s="54"/>
      <c r="I17" s="49"/>
      <c r="J17" s="18"/>
      <c r="K17" s="18"/>
      <c r="L17" s="18"/>
      <c r="M17" s="16"/>
      <c r="N17" s="32"/>
      <c r="O17" s="32"/>
      <c r="P17" s="33"/>
      <c r="Q17" s="34"/>
      <c r="R17" s="35"/>
    </row>
    <row r="18" spans="1:18" x14ac:dyDescent="0.25">
      <c r="B18" s="51"/>
      <c r="C18" s="52"/>
      <c r="D18" s="51"/>
      <c r="E18" s="51"/>
      <c r="F18" s="51"/>
      <c r="G18" s="53"/>
      <c r="H18" s="54"/>
      <c r="I18" s="49"/>
      <c r="J18" s="18"/>
      <c r="K18" s="18"/>
      <c r="L18" s="18"/>
      <c r="M18" s="16"/>
      <c r="N18" s="32"/>
      <c r="O18" s="32"/>
      <c r="P18" s="33"/>
      <c r="Q18" s="34"/>
      <c r="R18" s="35"/>
    </row>
    <row r="19" spans="1:18" x14ac:dyDescent="0.25">
      <c r="B19" s="51"/>
      <c r="C19" s="52"/>
      <c r="D19" s="51"/>
      <c r="E19" s="51"/>
      <c r="F19" s="51"/>
      <c r="G19" s="53"/>
      <c r="H19" s="54"/>
      <c r="I19" s="49"/>
      <c r="J19" s="18"/>
      <c r="K19" s="18"/>
      <c r="L19" s="18"/>
      <c r="M19" s="16"/>
      <c r="N19" s="32"/>
      <c r="O19" s="32"/>
      <c r="P19" s="33"/>
      <c r="Q19" s="34"/>
      <c r="R19" s="35"/>
    </row>
    <row r="20" spans="1:18" x14ac:dyDescent="0.25">
      <c r="B20" s="51"/>
      <c r="C20" s="52"/>
      <c r="D20" s="51"/>
      <c r="E20" s="51"/>
      <c r="F20" s="51"/>
      <c r="G20" s="53"/>
      <c r="H20" s="54"/>
      <c r="I20" s="49"/>
      <c r="J20" s="18"/>
      <c r="K20" s="18"/>
      <c r="L20" s="18"/>
      <c r="M20" s="16"/>
      <c r="N20" s="32"/>
      <c r="O20" s="32"/>
      <c r="P20" s="33"/>
      <c r="Q20" s="34"/>
      <c r="R20" s="35"/>
    </row>
    <row r="21" spans="1:18" x14ac:dyDescent="0.25">
      <c r="B21" s="51"/>
      <c r="C21" s="52"/>
      <c r="D21" s="51"/>
      <c r="E21" s="51"/>
      <c r="F21" s="51"/>
      <c r="G21" s="53"/>
      <c r="H21" s="54"/>
      <c r="I21" s="49"/>
      <c r="J21" s="18"/>
      <c r="K21" s="18"/>
      <c r="L21" s="18"/>
      <c r="M21" s="16"/>
      <c r="N21" s="32"/>
      <c r="O21" s="32"/>
      <c r="P21" s="33"/>
      <c r="Q21" s="34"/>
      <c r="R21" s="35"/>
    </row>
    <row r="22" spans="1:18" x14ac:dyDescent="0.25">
      <c r="B22" s="51"/>
      <c r="C22" s="52"/>
      <c r="D22" s="51"/>
      <c r="E22" s="51"/>
      <c r="F22" s="51"/>
      <c r="G22" s="53"/>
      <c r="H22" s="54"/>
      <c r="I22" s="49"/>
      <c r="J22" s="18"/>
      <c r="K22" s="18"/>
      <c r="L22" s="18"/>
      <c r="M22" s="16"/>
      <c r="N22" s="32"/>
      <c r="O22" s="32"/>
      <c r="P22" s="33"/>
      <c r="Q22" s="34"/>
      <c r="R22" s="35"/>
    </row>
    <row r="23" spans="1:18" x14ac:dyDescent="0.25">
      <c r="B23" s="51"/>
      <c r="C23" s="52"/>
      <c r="D23" s="51"/>
      <c r="E23" s="51"/>
      <c r="F23" s="51"/>
      <c r="G23" s="53"/>
      <c r="H23" s="54"/>
      <c r="I23" s="49"/>
      <c r="J23" s="18"/>
      <c r="K23" s="18"/>
      <c r="L23" s="18"/>
      <c r="M23" s="16"/>
      <c r="N23" s="32"/>
      <c r="O23" s="32"/>
      <c r="P23" s="33"/>
      <c r="Q23" s="34"/>
      <c r="R23" s="35"/>
    </row>
    <row r="24" spans="1:18" x14ac:dyDescent="0.25">
      <c r="B24" s="51"/>
      <c r="C24" s="52"/>
      <c r="D24" s="51"/>
      <c r="E24" s="51"/>
      <c r="F24" s="51"/>
      <c r="G24" s="53"/>
      <c r="H24" s="54"/>
      <c r="I24" s="49"/>
      <c r="J24" s="18"/>
      <c r="K24" s="18"/>
      <c r="L24" s="18"/>
      <c r="M24" s="16"/>
      <c r="N24" s="32"/>
      <c r="O24" s="32"/>
      <c r="P24" s="33"/>
      <c r="Q24" s="34"/>
      <c r="R24" s="35"/>
    </row>
    <row r="25" spans="1:18" x14ac:dyDescent="0.25">
      <c r="B25" s="51"/>
      <c r="C25" s="52"/>
      <c r="D25" s="51"/>
      <c r="E25" s="51"/>
      <c r="F25" s="51"/>
      <c r="G25" s="53"/>
      <c r="H25" s="54"/>
      <c r="I25" s="49"/>
      <c r="J25" s="18"/>
      <c r="K25" s="18"/>
      <c r="L25" s="18"/>
      <c r="M25" s="16"/>
      <c r="N25" s="32"/>
      <c r="O25" s="32"/>
      <c r="P25" s="33"/>
      <c r="Q25" s="34"/>
      <c r="R25" s="35"/>
    </row>
    <row r="26" spans="1:18" x14ac:dyDescent="0.25">
      <c r="B26" s="51"/>
      <c r="C26" s="52"/>
      <c r="D26" s="51"/>
      <c r="E26" s="51"/>
      <c r="F26" s="51"/>
      <c r="G26" s="53"/>
      <c r="H26" s="54"/>
      <c r="I26" s="49"/>
      <c r="J26" s="18"/>
      <c r="K26" s="18"/>
      <c r="L26" s="18"/>
      <c r="M26" s="16"/>
      <c r="N26" s="32"/>
      <c r="O26" s="32"/>
      <c r="P26" s="33"/>
      <c r="Q26" s="34"/>
      <c r="R26" s="35"/>
    </row>
    <row r="27" spans="1:18" x14ac:dyDescent="0.25">
      <c r="B27" s="51"/>
      <c r="C27" s="52"/>
      <c r="D27" s="51"/>
      <c r="E27" s="51"/>
      <c r="F27" s="51"/>
      <c r="G27" s="53"/>
      <c r="H27" s="54"/>
      <c r="I27" s="49"/>
      <c r="J27" s="18"/>
      <c r="K27" s="18"/>
      <c r="L27" s="18"/>
      <c r="M27" s="16"/>
      <c r="N27" s="32"/>
      <c r="O27" s="32"/>
      <c r="P27" s="33"/>
      <c r="Q27" s="34"/>
      <c r="R27" s="35"/>
    </row>
    <row r="28" spans="1:18" x14ac:dyDescent="0.25">
      <c r="B28" s="51"/>
      <c r="C28" s="52"/>
      <c r="D28" s="51"/>
      <c r="E28" s="51"/>
      <c r="F28" s="51"/>
      <c r="G28" s="53"/>
      <c r="H28" s="54"/>
      <c r="I28" s="49"/>
      <c r="J28" s="18"/>
      <c r="K28" s="18"/>
      <c r="L28" s="18"/>
      <c r="M28" s="16"/>
      <c r="N28" s="32"/>
      <c r="O28" s="32"/>
      <c r="P28" s="33"/>
      <c r="Q28" s="34"/>
      <c r="R28" s="35"/>
    </row>
    <row r="29" spans="1:18" x14ac:dyDescent="0.25">
      <c r="B29" s="51"/>
      <c r="C29" s="52"/>
      <c r="D29" s="51"/>
      <c r="E29" s="51"/>
      <c r="F29" s="51"/>
      <c r="G29" s="53"/>
      <c r="H29" s="54"/>
      <c r="I29" s="49"/>
      <c r="J29" s="18"/>
      <c r="K29" s="18"/>
      <c r="L29" s="18"/>
      <c r="M29" s="16"/>
      <c r="N29" s="32"/>
      <c r="O29" s="32"/>
      <c r="P29" s="33"/>
      <c r="Q29" s="34"/>
      <c r="R29" s="35"/>
    </row>
    <row r="30" spans="1:18" x14ac:dyDescent="0.25">
      <c r="B30" s="51"/>
      <c r="C30" s="52"/>
      <c r="D30" s="51"/>
      <c r="E30" s="51"/>
      <c r="F30" s="51"/>
      <c r="G30" s="53"/>
      <c r="H30" s="54"/>
      <c r="I30" s="49"/>
      <c r="J30" s="18"/>
      <c r="K30" s="18"/>
      <c r="L30" s="18"/>
      <c r="M30" s="16"/>
      <c r="N30" s="32"/>
      <c r="O30" s="32"/>
      <c r="P30" s="33"/>
      <c r="Q30" s="34"/>
      <c r="R30" s="35"/>
    </row>
    <row r="31" spans="1:18" x14ac:dyDescent="0.25">
      <c r="B31" s="51"/>
      <c r="C31" s="52"/>
      <c r="D31" s="51"/>
      <c r="E31" s="51"/>
      <c r="F31" s="51"/>
      <c r="G31" s="53"/>
      <c r="H31" s="54"/>
      <c r="I31" s="49"/>
      <c r="J31" s="18"/>
      <c r="K31" s="18"/>
      <c r="L31" s="18"/>
      <c r="M31" s="16"/>
      <c r="N31" s="32"/>
      <c r="O31" s="32"/>
      <c r="P31" s="33"/>
      <c r="Q31" s="34"/>
      <c r="R31" s="35"/>
    </row>
    <row r="32" spans="1:18" x14ac:dyDescent="0.25">
      <c r="B32" s="51"/>
      <c r="C32" s="52"/>
      <c r="D32" s="51"/>
      <c r="E32" s="51"/>
      <c r="F32" s="51"/>
      <c r="G32" s="53"/>
      <c r="H32" s="54"/>
      <c r="I32" s="49"/>
      <c r="J32" s="18"/>
      <c r="K32" s="18"/>
      <c r="L32" s="18"/>
      <c r="M32" s="16"/>
      <c r="N32" s="32"/>
      <c r="O32" s="32"/>
      <c r="P32" s="33"/>
      <c r="Q32" s="34"/>
      <c r="R32" s="35"/>
    </row>
    <row r="33" spans="2:18" x14ac:dyDescent="0.25">
      <c r="B33" s="51"/>
      <c r="C33" s="52"/>
      <c r="D33" s="51"/>
      <c r="E33" s="51"/>
      <c r="F33" s="51"/>
      <c r="G33" s="53"/>
      <c r="H33" s="54"/>
      <c r="I33" s="49"/>
      <c r="J33" s="18"/>
      <c r="K33" s="18"/>
      <c r="L33" s="18"/>
      <c r="M33" s="16"/>
      <c r="N33" s="32"/>
      <c r="O33" s="32"/>
      <c r="P33" s="33"/>
      <c r="Q33" s="34"/>
      <c r="R33" s="35"/>
    </row>
    <row r="34" spans="2:18" x14ac:dyDescent="0.25">
      <c r="B34" s="51"/>
      <c r="C34" s="52"/>
      <c r="D34" s="51"/>
      <c r="E34" s="51"/>
      <c r="F34" s="51"/>
      <c r="G34" s="53"/>
      <c r="H34" s="54"/>
      <c r="I34" s="49"/>
      <c r="J34" s="18"/>
      <c r="K34" s="18"/>
      <c r="L34" s="18"/>
      <c r="M34" s="16"/>
      <c r="N34" s="32"/>
      <c r="O34" s="32"/>
      <c r="P34" s="33"/>
      <c r="Q34" s="34"/>
      <c r="R34" s="35"/>
    </row>
    <row r="35" spans="2:18" x14ac:dyDescent="0.25">
      <c r="B35" s="51"/>
      <c r="C35" s="52"/>
      <c r="D35" s="51"/>
      <c r="E35" s="51"/>
      <c r="F35" s="51"/>
      <c r="G35" s="53"/>
      <c r="H35" s="54"/>
      <c r="I35" s="49"/>
      <c r="J35" s="18"/>
      <c r="K35" s="18"/>
      <c r="L35" s="18"/>
      <c r="M35" s="16"/>
      <c r="N35" s="32"/>
      <c r="O35" s="32"/>
      <c r="P35" s="33"/>
      <c r="Q35" s="34"/>
      <c r="R35" s="35"/>
    </row>
    <row r="36" spans="2:18" x14ac:dyDescent="0.25">
      <c r="B36" s="51"/>
      <c r="C36" s="52"/>
      <c r="D36" s="51"/>
      <c r="E36" s="51"/>
      <c r="F36" s="51"/>
      <c r="G36" s="53"/>
      <c r="H36" s="54"/>
      <c r="I36" s="49"/>
      <c r="J36" s="18"/>
      <c r="K36" s="18"/>
      <c r="L36" s="18"/>
      <c r="M36" s="16"/>
      <c r="N36" s="32"/>
      <c r="O36" s="32"/>
      <c r="P36" s="33"/>
      <c r="Q36" s="34"/>
      <c r="R36" s="35"/>
    </row>
    <row r="37" spans="2:18" x14ac:dyDescent="0.25">
      <c r="B37" s="51"/>
      <c r="C37" s="52"/>
      <c r="D37" s="51"/>
      <c r="E37" s="51"/>
      <c r="F37" s="51"/>
      <c r="G37" s="53"/>
      <c r="H37" s="54"/>
      <c r="I37" s="49"/>
      <c r="J37" s="18"/>
      <c r="K37" s="18"/>
      <c r="L37" s="18"/>
      <c r="M37" s="16"/>
      <c r="N37" s="32"/>
      <c r="O37" s="32"/>
      <c r="P37" s="33"/>
      <c r="Q37" s="34"/>
      <c r="R37" s="35"/>
    </row>
    <row r="38" spans="2:18" x14ac:dyDescent="0.25">
      <c r="B38" s="51"/>
      <c r="C38" s="52"/>
      <c r="D38" s="51"/>
      <c r="E38" s="51"/>
      <c r="F38" s="51"/>
      <c r="G38" s="53"/>
      <c r="H38" s="54"/>
      <c r="I38" s="49"/>
      <c r="J38" s="18"/>
      <c r="K38" s="18"/>
      <c r="L38" s="18"/>
      <c r="M38" s="16"/>
      <c r="N38" s="32"/>
      <c r="O38" s="32"/>
      <c r="P38" s="33"/>
      <c r="Q38" s="34"/>
      <c r="R38" s="35"/>
    </row>
    <row r="39" spans="2:18" x14ac:dyDescent="0.25">
      <c r="B39" s="51"/>
      <c r="C39" s="52"/>
      <c r="D39" s="51"/>
      <c r="E39" s="51"/>
      <c r="F39" s="51"/>
      <c r="G39" s="53"/>
      <c r="H39" s="54"/>
      <c r="I39" s="49"/>
      <c r="J39" s="18"/>
      <c r="K39" s="18"/>
      <c r="L39" s="18"/>
      <c r="M39" s="16"/>
      <c r="N39" s="32"/>
      <c r="O39" s="32"/>
      <c r="P39" s="33"/>
      <c r="Q39" s="34"/>
      <c r="R39" s="35"/>
    </row>
    <row r="40" spans="2:18" x14ac:dyDescent="0.25">
      <c r="B40" s="51"/>
      <c r="C40" s="52"/>
      <c r="D40" s="51"/>
      <c r="E40" s="51"/>
      <c r="F40" s="51"/>
      <c r="G40" s="53"/>
      <c r="H40" s="54"/>
      <c r="I40" s="49"/>
      <c r="J40" s="18"/>
      <c r="K40" s="18"/>
      <c r="L40" s="18"/>
      <c r="M40" s="16"/>
      <c r="N40" s="32"/>
      <c r="O40" s="32"/>
      <c r="P40" s="33"/>
      <c r="Q40" s="34"/>
      <c r="R40" s="35"/>
    </row>
  </sheetData>
  <autoFilter ref="B3:R3" xr:uid="{6A7C5D06-FFCD-4201-A2BF-4DC17AF82E9C}"/>
  <conditionalFormatting sqref="Q4:Q1048576">
    <cfRule type="containsText" dxfId="54" priority="4" operator="containsText" text="Cash">
      <formula>NOT(ISERROR(SEARCH("Cash",Q4)))</formula>
    </cfRule>
    <cfRule type="containsText" dxfId="53" priority="5" operator="containsText" text="Conta Corrente">
      <formula>NOT(ISERROR(SEARCH("Conta Corrente",Q4)))</formula>
    </cfRule>
  </conditionalFormatting>
  <conditionalFormatting sqref="R4:R1048576">
    <cfRule type="containsText" dxfId="52" priority="6" operator="containsText" text="Pendente">
      <formula>NOT(ISERROR(SEARCH("Pendente",R4)))</formula>
    </cfRule>
    <cfRule type="containsText" dxfId="51" priority="7" operator="containsText" text="Pago">
      <formula>NOT(ISERROR(SEARCH("Pago",R4)))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CD0D3522-E278-4B06-80C7-132FC3DADC9F}">
          <x14:formula1>
            <xm:f>Apoio!$O$4:$O$5</xm:f>
          </x14:formula1>
          <xm:sqref>R4:R40</xm:sqref>
        </x14:dataValidation>
        <x14:dataValidation type="list" allowBlank="1" showInputMessage="1" showErrorMessage="1" xr:uid="{CA6E83B5-CBF0-426F-91ED-4AD5A7E9C699}">
          <x14:formula1>
            <xm:f>Apoio!$K$4:$K$5</xm:f>
          </x14:formula1>
          <xm:sqref>Q4:Q40</xm:sqref>
        </x14:dataValidation>
        <x14:dataValidation type="list" allowBlank="1" showInputMessage="1" showErrorMessage="1" xr:uid="{4AF44EFF-F99C-4AB1-ABE6-81966C15BE81}">
          <x14:formula1>
            <xm:f>Apoio!$I$4:$I$5</xm:f>
          </x14:formula1>
          <xm:sqref>O4:O40</xm:sqref>
        </x14:dataValidation>
        <x14:dataValidation type="list" allowBlank="1" showInputMessage="1" showErrorMessage="1" xr:uid="{5322CD32-8CCD-488B-9C44-A2542FF902E0}">
          <x14:formula1>
            <xm:f>Base_Cliente_Full!$A$2:$A$50</xm:f>
          </x14:formula1>
          <xm:sqref>N4:N40</xm:sqref>
        </x14:dataValidation>
        <x14:dataValidation type="list" allowBlank="1" showInputMessage="1" showErrorMessage="1" xr:uid="{0638772B-ECB5-4E8B-B950-00FEB50E6457}">
          <x14:formula1>
            <xm:f>Apoio!$C$5:$C$9</xm:f>
          </x14:formula1>
          <xm:sqref>B4:B40</xm:sqref>
        </x14:dataValidation>
        <x14:dataValidation type="list" allowBlank="1" showInputMessage="1" showErrorMessage="1" xr:uid="{687C5419-BD46-4865-9A28-34FAE08652FA}">
          <x14:formula1>
            <xm:f>Apoio!$M$4:$M$6</xm:f>
          </x14:formula1>
          <xm:sqref>F4:F40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C03ACB-B459-4F67-A237-0E4CECD33B94}">
  <sheetPr codeName="Planilha3"/>
  <dimension ref="B3:R133"/>
  <sheetViews>
    <sheetView showGridLines="0" workbookViewId="0">
      <selection activeCell="I121" sqref="I121"/>
    </sheetView>
  </sheetViews>
  <sheetFormatPr defaultRowHeight="15" x14ac:dyDescent="0.25"/>
  <cols>
    <col min="2" max="2" width="8" bestFit="1" customWidth="1"/>
    <col min="3" max="3" width="14.42578125" bestFit="1" customWidth="1"/>
    <col min="4" max="4" width="11.42578125" bestFit="1" customWidth="1"/>
    <col min="5" max="5" width="11.28515625" bestFit="1" customWidth="1"/>
    <col min="6" max="6" width="9.28515625" bestFit="1" customWidth="1"/>
    <col min="7" max="7" width="10.140625" bestFit="1" customWidth="1"/>
    <col min="8" max="8" width="16" bestFit="1" customWidth="1"/>
    <col min="9" max="9" width="17.7109375" bestFit="1" customWidth="1"/>
    <col min="10" max="11" width="13.7109375" bestFit="1" customWidth="1"/>
    <col min="12" max="12" width="11.7109375" bestFit="1" customWidth="1"/>
    <col min="13" max="13" width="10.140625" bestFit="1" customWidth="1"/>
    <col min="14" max="14" width="16.28515625" bestFit="1" customWidth="1"/>
    <col min="15" max="16" width="10.28515625" bestFit="1" customWidth="1"/>
    <col min="17" max="17" width="9.28515625" bestFit="1" customWidth="1"/>
    <col min="18" max="18" width="5.7109375" bestFit="1" customWidth="1"/>
  </cols>
  <sheetData>
    <row r="3" spans="2:18" x14ac:dyDescent="0.25">
      <c r="B3" s="50" t="s">
        <v>60</v>
      </c>
      <c r="C3" s="50" t="s">
        <v>45</v>
      </c>
      <c r="D3" s="50" t="s">
        <v>65</v>
      </c>
      <c r="E3" s="50" t="s">
        <v>42</v>
      </c>
      <c r="F3" s="50" t="s">
        <v>62</v>
      </c>
      <c r="G3" s="50" t="s">
        <v>48</v>
      </c>
      <c r="H3" s="50" t="s">
        <v>63</v>
      </c>
      <c r="I3" s="46" t="s">
        <v>22</v>
      </c>
      <c r="J3" s="15" t="s">
        <v>23</v>
      </c>
      <c r="K3" s="15" t="s">
        <v>24</v>
      </c>
      <c r="L3" s="15" t="s">
        <v>25</v>
      </c>
      <c r="M3" s="15" t="s">
        <v>68</v>
      </c>
      <c r="N3" s="29" t="s">
        <v>49</v>
      </c>
      <c r="O3" s="29" t="s">
        <v>62</v>
      </c>
      <c r="P3" s="29" t="s">
        <v>64</v>
      </c>
      <c r="Q3" s="30" t="s">
        <v>62</v>
      </c>
      <c r="R3" s="30" t="s">
        <v>64</v>
      </c>
    </row>
    <row r="4" spans="2:18" x14ac:dyDescent="0.25">
      <c r="B4" s="51">
        <v>1</v>
      </c>
      <c r="C4" s="52">
        <v>45747</v>
      </c>
      <c r="D4" s="51" t="s">
        <v>39</v>
      </c>
      <c r="E4" s="51">
        <v>4</v>
      </c>
      <c r="F4" s="51" t="s">
        <v>40</v>
      </c>
      <c r="G4" s="53">
        <v>28</v>
      </c>
      <c r="H4" s="54">
        <f>E4*G4</f>
        <v>112</v>
      </c>
      <c r="I4" s="47">
        <v>25</v>
      </c>
      <c r="J4" s="16">
        <v>1.5</v>
      </c>
      <c r="K4" s="16">
        <v>0.25</v>
      </c>
      <c r="L4" s="16">
        <v>1</v>
      </c>
      <c r="M4" s="16">
        <f>SUM(I4:L4)</f>
        <v>27.75</v>
      </c>
      <c r="N4" s="31" t="s">
        <v>50</v>
      </c>
      <c r="O4" s="32" t="s">
        <v>16</v>
      </c>
      <c r="P4" s="33">
        <v>420</v>
      </c>
      <c r="Q4" s="34" t="s">
        <v>61</v>
      </c>
      <c r="R4" s="32" t="s">
        <v>38</v>
      </c>
    </row>
    <row r="5" spans="2:18" x14ac:dyDescent="0.25">
      <c r="B5" s="51">
        <v>1</v>
      </c>
      <c r="C5" s="52">
        <v>45748</v>
      </c>
      <c r="D5" s="51" t="s">
        <v>46</v>
      </c>
      <c r="E5" s="51">
        <v>4</v>
      </c>
      <c r="F5" s="51" t="s">
        <v>41</v>
      </c>
      <c r="G5" s="53">
        <v>28</v>
      </c>
      <c r="H5" s="54">
        <f t="shared" ref="H5:H16" si="0">E5*G5</f>
        <v>112</v>
      </c>
      <c r="I5" s="47"/>
      <c r="J5" s="16"/>
      <c r="K5" s="16"/>
      <c r="L5" s="16"/>
      <c r="M5" s="16">
        <f t="shared" ref="M5:M16" si="1">SUM(I5:L5)</f>
        <v>0</v>
      </c>
      <c r="N5" s="31" t="s">
        <v>51</v>
      </c>
      <c r="O5" s="32" t="s">
        <v>16</v>
      </c>
      <c r="P5" s="33">
        <v>320</v>
      </c>
      <c r="Q5" s="34" t="s">
        <v>61</v>
      </c>
      <c r="R5" s="32" t="s">
        <v>38</v>
      </c>
    </row>
    <row r="6" spans="2:18" x14ac:dyDescent="0.25">
      <c r="B6" s="51">
        <v>1</v>
      </c>
      <c r="C6" s="52">
        <v>45749</v>
      </c>
      <c r="D6" s="51" t="s">
        <v>46</v>
      </c>
      <c r="E6" s="51">
        <v>6</v>
      </c>
      <c r="F6" s="51" t="s">
        <v>41</v>
      </c>
      <c r="G6" s="53">
        <v>28</v>
      </c>
      <c r="H6" s="54">
        <f t="shared" si="0"/>
        <v>168</v>
      </c>
      <c r="I6" s="47"/>
      <c r="J6" s="16"/>
      <c r="K6" s="16"/>
      <c r="L6" s="16"/>
      <c r="M6" s="16">
        <f t="shared" si="1"/>
        <v>0</v>
      </c>
      <c r="N6" s="31" t="s">
        <v>52</v>
      </c>
      <c r="O6" s="32" t="s">
        <v>44</v>
      </c>
      <c r="P6" s="33">
        <v>300</v>
      </c>
      <c r="Q6" s="34" t="s">
        <v>8</v>
      </c>
      <c r="R6" s="32" t="s">
        <v>38</v>
      </c>
    </row>
    <row r="7" spans="2:18" x14ac:dyDescent="0.25">
      <c r="B7" s="51">
        <v>1</v>
      </c>
      <c r="C7" s="52">
        <v>45749</v>
      </c>
      <c r="D7" s="51" t="s">
        <v>47</v>
      </c>
      <c r="E7" s="51">
        <v>2</v>
      </c>
      <c r="F7" s="51" t="s">
        <v>41</v>
      </c>
      <c r="G7" s="53">
        <v>28</v>
      </c>
      <c r="H7" s="54">
        <f t="shared" si="0"/>
        <v>56</v>
      </c>
      <c r="I7" s="47"/>
      <c r="J7" s="16"/>
      <c r="K7" s="16"/>
      <c r="L7" s="16"/>
      <c r="M7" s="16">
        <f t="shared" si="1"/>
        <v>0</v>
      </c>
      <c r="N7" s="31" t="s">
        <v>52</v>
      </c>
      <c r="O7" s="32" t="s">
        <v>16</v>
      </c>
      <c r="P7" s="33">
        <v>330</v>
      </c>
      <c r="Q7" s="34" t="s">
        <v>61</v>
      </c>
      <c r="R7" s="32" t="s">
        <v>38</v>
      </c>
    </row>
    <row r="8" spans="2:18" x14ac:dyDescent="0.25">
      <c r="B8" s="51">
        <v>1</v>
      </c>
      <c r="C8" s="52">
        <v>45750</v>
      </c>
      <c r="D8" s="51" t="s">
        <v>47</v>
      </c>
      <c r="E8" s="51">
        <v>4</v>
      </c>
      <c r="F8" s="51" t="s">
        <v>41</v>
      </c>
      <c r="G8" s="53">
        <v>28</v>
      </c>
      <c r="H8" s="54">
        <f t="shared" si="0"/>
        <v>112</v>
      </c>
      <c r="I8" s="47">
        <v>10</v>
      </c>
      <c r="J8" s="16">
        <v>1.5</v>
      </c>
      <c r="K8" s="16">
        <v>0.25</v>
      </c>
      <c r="L8" s="16">
        <v>1</v>
      </c>
      <c r="M8" s="16">
        <f t="shared" si="1"/>
        <v>12.75</v>
      </c>
      <c r="N8" s="31" t="s">
        <v>53</v>
      </c>
      <c r="O8" s="32" t="s">
        <v>16</v>
      </c>
      <c r="P8" s="33">
        <v>420</v>
      </c>
      <c r="Q8" s="34" t="s">
        <v>61</v>
      </c>
      <c r="R8" s="32" t="s">
        <v>38</v>
      </c>
    </row>
    <row r="9" spans="2:18" x14ac:dyDescent="0.25">
      <c r="B9" s="51">
        <v>1</v>
      </c>
      <c r="C9" s="52">
        <v>45750</v>
      </c>
      <c r="D9" s="51" t="s">
        <v>39</v>
      </c>
      <c r="E9" s="51">
        <v>3</v>
      </c>
      <c r="F9" s="51" t="s">
        <v>41</v>
      </c>
      <c r="G9" s="53">
        <v>28</v>
      </c>
      <c r="H9" s="54">
        <f t="shared" si="0"/>
        <v>84</v>
      </c>
      <c r="I9" s="48"/>
      <c r="J9" s="17"/>
      <c r="K9" s="17"/>
      <c r="L9" s="17"/>
      <c r="M9" s="16">
        <f t="shared" si="1"/>
        <v>0</v>
      </c>
      <c r="N9" s="31" t="s">
        <v>54</v>
      </c>
      <c r="O9" s="32" t="s">
        <v>16</v>
      </c>
      <c r="P9" s="33">
        <v>420</v>
      </c>
      <c r="Q9" s="34" t="s">
        <v>61</v>
      </c>
      <c r="R9" s="32" t="s">
        <v>38</v>
      </c>
    </row>
    <row r="10" spans="2:18" x14ac:dyDescent="0.25">
      <c r="B10" s="51">
        <v>1</v>
      </c>
      <c r="C10" s="52">
        <v>45751</v>
      </c>
      <c r="D10" s="51" t="s">
        <v>55</v>
      </c>
      <c r="E10" s="51">
        <v>6.15</v>
      </c>
      <c r="F10" s="51" t="s">
        <v>41</v>
      </c>
      <c r="G10" s="53">
        <v>28</v>
      </c>
      <c r="H10" s="54">
        <f t="shared" si="0"/>
        <v>172.20000000000002</v>
      </c>
      <c r="I10" s="48"/>
      <c r="J10" s="17"/>
      <c r="K10" s="17"/>
      <c r="L10" s="17"/>
      <c r="M10" s="16">
        <f t="shared" si="1"/>
        <v>0</v>
      </c>
      <c r="N10" s="31" t="s">
        <v>26</v>
      </c>
      <c r="O10" s="32" t="s">
        <v>16</v>
      </c>
      <c r="P10" s="33">
        <v>520</v>
      </c>
      <c r="Q10" s="34" t="s">
        <v>61</v>
      </c>
      <c r="R10" s="35" t="s">
        <v>38</v>
      </c>
    </row>
    <row r="11" spans="2:18" x14ac:dyDescent="0.25">
      <c r="B11" s="51">
        <v>1</v>
      </c>
      <c r="C11" s="52">
        <v>45751</v>
      </c>
      <c r="D11" s="51" t="s">
        <v>56</v>
      </c>
      <c r="E11" s="51">
        <v>6</v>
      </c>
      <c r="F11" s="51" t="s">
        <v>41</v>
      </c>
      <c r="G11" s="53">
        <v>28</v>
      </c>
      <c r="H11" s="54">
        <f t="shared" si="0"/>
        <v>168</v>
      </c>
      <c r="I11" s="48"/>
      <c r="J11" s="17"/>
      <c r="K11" s="17"/>
      <c r="L11" s="17"/>
      <c r="M11" s="16">
        <f t="shared" si="1"/>
        <v>0</v>
      </c>
      <c r="N11" s="31" t="s">
        <v>27</v>
      </c>
      <c r="O11" s="32" t="s">
        <v>16</v>
      </c>
      <c r="P11" s="33">
        <v>200</v>
      </c>
      <c r="Q11" s="34" t="s">
        <v>61</v>
      </c>
      <c r="R11" s="35" t="s">
        <v>38</v>
      </c>
    </row>
    <row r="12" spans="2:18" x14ac:dyDescent="0.25">
      <c r="B12" s="51">
        <v>1</v>
      </c>
      <c r="C12" s="52">
        <v>45751</v>
      </c>
      <c r="D12" s="51" t="s">
        <v>39</v>
      </c>
      <c r="E12" s="51">
        <v>2</v>
      </c>
      <c r="F12" s="51" t="s">
        <v>41</v>
      </c>
      <c r="G12" s="53">
        <v>28</v>
      </c>
      <c r="H12" s="54">
        <f t="shared" si="0"/>
        <v>56</v>
      </c>
      <c r="I12" s="48"/>
      <c r="J12" s="17"/>
      <c r="K12" s="17"/>
      <c r="L12" s="17"/>
      <c r="M12" s="16">
        <f t="shared" si="1"/>
        <v>0</v>
      </c>
      <c r="N12" s="31" t="s">
        <v>58</v>
      </c>
      <c r="O12" s="32" t="s">
        <v>16</v>
      </c>
      <c r="P12" s="33">
        <v>720</v>
      </c>
      <c r="Q12" s="34" t="s">
        <v>61</v>
      </c>
      <c r="R12" s="35" t="s">
        <v>38</v>
      </c>
    </row>
    <row r="13" spans="2:18" x14ac:dyDescent="0.25">
      <c r="B13" s="51">
        <v>1</v>
      </c>
      <c r="C13" s="52">
        <v>45752</v>
      </c>
      <c r="D13" s="51" t="s">
        <v>39</v>
      </c>
      <c r="E13" s="51">
        <v>3</v>
      </c>
      <c r="F13" s="51" t="s">
        <v>41</v>
      </c>
      <c r="G13" s="53">
        <v>28</v>
      </c>
      <c r="H13" s="54">
        <f t="shared" si="0"/>
        <v>84</v>
      </c>
      <c r="I13" s="49"/>
      <c r="J13" s="18"/>
      <c r="K13" s="18"/>
      <c r="L13" s="18"/>
      <c r="M13" s="16">
        <f t="shared" si="1"/>
        <v>0</v>
      </c>
      <c r="N13" s="32" t="s">
        <v>84</v>
      </c>
      <c r="O13" s="32" t="s">
        <v>44</v>
      </c>
      <c r="P13" s="33">
        <v>1500</v>
      </c>
      <c r="Q13" s="34" t="s">
        <v>61</v>
      </c>
      <c r="R13" s="35" t="s">
        <v>38</v>
      </c>
    </row>
    <row r="14" spans="2:18" x14ac:dyDescent="0.25">
      <c r="B14" s="51">
        <v>1</v>
      </c>
      <c r="C14" s="52">
        <v>45752</v>
      </c>
      <c r="D14" s="51" t="s">
        <v>55</v>
      </c>
      <c r="E14" s="51">
        <v>6</v>
      </c>
      <c r="F14" s="51" t="s">
        <v>41</v>
      </c>
      <c r="G14" s="53">
        <v>28</v>
      </c>
      <c r="H14" s="54">
        <f t="shared" si="0"/>
        <v>168</v>
      </c>
      <c r="I14" s="49"/>
      <c r="J14" s="18"/>
      <c r="K14" s="18"/>
      <c r="L14" s="18"/>
      <c r="M14" s="16">
        <f t="shared" si="1"/>
        <v>0</v>
      </c>
      <c r="N14" s="32" t="s">
        <v>79</v>
      </c>
      <c r="O14" s="32" t="s">
        <v>16</v>
      </c>
      <c r="P14" s="33">
        <v>2800</v>
      </c>
      <c r="Q14" s="34" t="s">
        <v>8</v>
      </c>
      <c r="R14" s="35" t="s">
        <v>38</v>
      </c>
    </row>
    <row r="15" spans="2:18" x14ac:dyDescent="0.25">
      <c r="B15" s="51">
        <v>1</v>
      </c>
      <c r="C15" s="52">
        <v>45752</v>
      </c>
      <c r="D15" s="51" t="s">
        <v>56</v>
      </c>
      <c r="E15" s="51">
        <v>6</v>
      </c>
      <c r="F15" s="51" t="s">
        <v>41</v>
      </c>
      <c r="G15" s="53">
        <v>28</v>
      </c>
      <c r="H15" s="54">
        <f t="shared" si="0"/>
        <v>168</v>
      </c>
      <c r="I15" s="49"/>
      <c r="J15" s="18"/>
      <c r="K15" s="18"/>
      <c r="L15" s="18"/>
      <c r="M15" s="16">
        <f t="shared" si="1"/>
        <v>0</v>
      </c>
      <c r="N15" s="32"/>
      <c r="O15" s="32"/>
      <c r="P15" s="33"/>
      <c r="Q15" s="34"/>
      <c r="R15" s="35"/>
    </row>
    <row r="16" spans="2:18" x14ac:dyDescent="0.25">
      <c r="B16" s="51">
        <v>1</v>
      </c>
      <c r="C16" s="52">
        <v>45753</v>
      </c>
      <c r="D16" s="51" t="s">
        <v>39</v>
      </c>
      <c r="E16" s="51">
        <v>3</v>
      </c>
      <c r="F16" s="51" t="s">
        <v>41</v>
      </c>
      <c r="G16" s="53">
        <v>28</v>
      </c>
      <c r="H16" s="54">
        <f t="shared" si="0"/>
        <v>84</v>
      </c>
      <c r="I16" s="49"/>
      <c r="J16" s="18"/>
      <c r="K16" s="18"/>
      <c r="L16" s="18"/>
      <c r="M16" s="16">
        <f t="shared" si="1"/>
        <v>0</v>
      </c>
      <c r="N16" s="32"/>
      <c r="O16" s="32"/>
      <c r="P16" s="33"/>
      <c r="Q16" s="34"/>
      <c r="R16" s="35"/>
    </row>
    <row r="17" spans="2:18" x14ac:dyDescent="0.25">
      <c r="B17" s="51">
        <v>2</v>
      </c>
      <c r="C17" s="52">
        <v>45747</v>
      </c>
      <c r="D17" s="51" t="s">
        <v>39</v>
      </c>
      <c r="E17" s="51">
        <v>4</v>
      </c>
      <c r="F17" s="51" t="s">
        <v>40</v>
      </c>
      <c r="G17" s="53">
        <v>28</v>
      </c>
      <c r="H17" s="54">
        <f>E17*G17</f>
        <v>112</v>
      </c>
      <c r="I17" s="47">
        <v>25</v>
      </c>
      <c r="J17" s="16">
        <v>1.5</v>
      </c>
      <c r="K17" s="16">
        <v>0.25</v>
      </c>
      <c r="L17" s="16">
        <v>1</v>
      </c>
      <c r="M17" s="16">
        <f>SUM(I17:L17)</f>
        <v>27.75</v>
      </c>
      <c r="N17" s="31" t="s">
        <v>50</v>
      </c>
      <c r="O17" s="32" t="s">
        <v>16</v>
      </c>
      <c r="P17" s="33">
        <v>420</v>
      </c>
      <c r="Q17" s="34" t="s">
        <v>61</v>
      </c>
      <c r="R17" s="32" t="s">
        <v>38</v>
      </c>
    </row>
    <row r="18" spans="2:18" x14ac:dyDescent="0.25">
      <c r="B18" s="51">
        <v>2</v>
      </c>
      <c r="C18" s="52">
        <v>45748</v>
      </c>
      <c r="D18" s="51" t="s">
        <v>46</v>
      </c>
      <c r="E18" s="51">
        <v>4</v>
      </c>
      <c r="F18" s="51" t="s">
        <v>41</v>
      </c>
      <c r="G18" s="53">
        <v>28</v>
      </c>
      <c r="H18" s="54">
        <f t="shared" ref="H18:H29" si="2">E18*G18</f>
        <v>112</v>
      </c>
      <c r="I18" s="47"/>
      <c r="J18" s="16"/>
      <c r="K18" s="16"/>
      <c r="L18" s="16"/>
      <c r="M18" s="16">
        <f t="shared" ref="M18:M29" si="3">SUM(I18:L18)</f>
        <v>0</v>
      </c>
      <c r="N18" s="31" t="s">
        <v>51</v>
      </c>
      <c r="O18" s="32" t="s">
        <v>16</v>
      </c>
      <c r="P18" s="33">
        <v>320</v>
      </c>
      <c r="Q18" s="34" t="s">
        <v>61</v>
      </c>
      <c r="R18" s="32" t="s">
        <v>38</v>
      </c>
    </row>
    <row r="19" spans="2:18" x14ac:dyDescent="0.25">
      <c r="B19" s="51">
        <v>2</v>
      </c>
      <c r="C19" s="52">
        <v>45749</v>
      </c>
      <c r="D19" s="51" t="s">
        <v>46</v>
      </c>
      <c r="E19" s="51">
        <v>6</v>
      </c>
      <c r="F19" s="51" t="s">
        <v>41</v>
      </c>
      <c r="G19" s="53">
        <v>28</v>
      </c>
      <c r="H19" s="54">
        <f t="shared" si="2"/>
        <v>168</v>
      </c>
      <c r="I19" s="47"/>
      <c r="J19" s="16"/>
      <c r="K19" s="16"/>
      <c r="L19" s="16"/>
      <c r="M19" s="16">
        <f t="shared" si="3"/>
        <v>0</v>
      </c>
      <c r="N19" s="31" t="s">
        <v>52</v>
      </c>
      <c r="O19" s="32" t="s">
        <v>44</v>
      </c>
      <c r="P19" s="33">
        <v>300</v>
      </c>
      <c r="Q19" s="34" t="s">
        <v>8</v>
      </c>
      <c r="R19" s="32" t="s">
        <v>38</v>
      </c>
    </row>
    <row r="20" spans="2:18" x14ac:dyDescent="0.25">
      <c r="B20" s="51">
        <v>2</v>
      </c>
      <c r="C20" s="52">
        <v>45749</v>
      </c>
      <c r="D20" s="51" t="s">
        <v>47</v>
      </c>
      <c r="E20" s="51">
        <v>2</v>
      </c>
      <c r="F20" s="51" t="s">
        <v>41</v>
      </c>
      <c r="G20" s="53">
        <v>28</v>
      </c>
      <c r="H20" s="54">
        <f t="shared" si="2"/>
        <v>56</v>
      </c>
      <c r="I20" s="47"/>
      <c r="J20" s="16"/>
      <c r="K20" s="16"/>
      <c r="L20" s="16"/>
      <c r="M20" s="16">
        <f t="shared" si="3"/>
        <v>0</v>
      </c>
      <c r="N20" s="31" t="s">
        <v>52</v>
      </c>
      <c r="O20" s="32" t="s">
        <v>16</v>
      </c>
      <c r="P20" s="33">
        <v>330</v>
      </c>
      <c r="Q20" s="34" t="s">
        <v>61</v>
      </c>
      <c r="R20" s="32" t="s">
        <v>38</v>
      </c>
    </row>
    <row r="21" spans="2:18" x14ac:dyDescent="0.25">
      <c r="B21" s="51">
        <v>2</v>
      </c>
      <c r="C21" s="52">
        <v>45750</v>
      </c>
      <c r="D21" s="51" t="s">
        <v>47</v>
      </c>
      <c r="E21" s="51">
        <v>4</v>
      </c>
      <c r="F21" s="51" t="s">
        <v>41</v>
      </c>
      <c r="G21" s="53">
        <v>28</v>
      </c>
      <c r="H21" s="54">
        <f t="shared" si="2"/>
        <v>112</v>
      </c>
      <c r="I21" s="47">
        <v>10</v>
      </c>
      <c r="J21" s="16">
        <v>1.5</v>
      </c>
      <c r="K21" s="16">
        <v>0.25</v>
      </c>
      <c r="L21" s="16">
        <v>1</v>
      </c>
      <c r="M21" s="16">
        <f t="shared" si="3"/>
        <v>12.75</v>
      </c>
      <c r="N21" s="31" t="s">
        <v>53</v>
      </c>
      <c r="O21" s="32" t="s">
        <v>16</v>
      </c>
      <c r="P21" s="33">
        <v>420</v>
      </c>
      <c r="Q21" s="34" t="s">
        <v>61</v>
      </c>
      <c r="R21" s="32" t="s">
        <v>38</v>
      </c>
    </row>
    <row r="22" spans="2:18" x14ac:dyDescent="0.25">
      <c r="B22" s="51">
        <v>2</v>
      </c>
      <c r="C22" s="52">
        <v>45750</v>
      </c>
      <c r="D22" s="51" t="s">
        <v>39</v>
      </c>
      <c r="E22" s="51">
        <v>3</v>
      </c>
      <c r="F22" s="51" t="s">
        <v>41</v>
      </c>
      <c r="G22" s="53">
        <v>28</v>
      </c>
      <c r="H22" s="54">
        <f t="shared" si="2"/>
        <v>84</v>
      </c>
      <c r="I22" s="48"/>
      <c r="J22" s="17"/>
      <c r="K22" s="17"/>
      <c r="L22" s="17"/>
      <c r="M22" s="16">
        <f t="shared" si="3"/>
        <v>0</v>
      </c>
      <c r="N22" s="31" t="s">
        <v>54</v>
      </c>
      <c r="O22" s="32" t="s">
        <v>16</v>
      </c>
      <c r="P22" s="33">
        <v>420</v>
      </c>
      <c r="Q22" s="34" t="s">
        <v>61</v>
      </c>
      <c r="R22" s="32" t="s">
        <v>38</v>
      </c>
    </row>
    <row r="23" spans="2:18" x14ac:dyDescent="0.25">
      <c r="B23" s="51">
        <v>2</v>
      </c>
      <c r="C23" s="52">
        <v>45751</v>
      </c>
      <c r="D23" s="51" t="s">
        <v>55</v>
      </c>
      <c r="E23" s="51">
        <v>6.15</v>
      </c>
      <c r="F23" s="51" t="s">
        <v>41</v>
      </c>
      <c r="G23" s="53">
        <v>28</v>
      </c>
      <c r="H23" s="54">
        <f t="shared" si="2"/>
        <v>172.20000000000002</v>
      </c>
      <c r="I23" s="48"/>
      <c r="J23" s="17"/>
      <c r="K23" s="17"/>
      <c r="L23" s="17"/>
      <c r="M23" s="16">
        <f t="shared" si="3"/>
        <v>0</v>
      </c>
      <c r="N23" s="31" t="s">
        <v>26</v>
      </c>
      <c r="O23" s="32" t="s">
        <v>16</v>
      </c>
      <c r="P23" s="33">
        <v>520</v>
      </c>
      <c r="Q23" s="34" t="s">
        <v>61</v>
      </c>
      <c r="R23" s="35" t="s">
        <v>38</v>
      </c>
    </row>
    <row r="24" spans="2:18" x14ac:dyDescent="0.25">
      <c r="B24" s="51">
        <v>2</v>
      </c>
      <c r="C24" s="52">
        <v>45751</v>
      </c>
      <c r="D24" s="51" t="s">
        <v>56</v>
      </c>
      <c r="E24" s="51">
        <v>6</v>
      </c>
      <c r="F24" s="51" t="s">
        <v>41</v>
      </c>
      <c r="G24" s="53">
        <v>28</v>
      </c>
      <c r="H24" s="54">
        <f t="shared" si="2"/>
        <v>168</v>
      </c>
      <c r="I24" s="48"/>
      <c r="J24" s="17"/>
      <c r="K24" s="17"/>
      <c r="L24" s="17"/>
      <c r="M24" s="16">
        <f t="shared" si="3"/>
        <v>0</v>
      </c>
      <c r="N24" s="31" t="s">
        <v>27</v>
      </c>
      <c r="O24" s="32" t="s">
        <v>16</v>
      </c>
      <c r="P24" s="33">
        <v>200</v>
      </c>
      <c r="Q24" s="34" t="s">
        <v>61</v>
      </c>
      <c r="R24" s="35" t="s">
        <v>38</v>
      </c>
    </row>
    <row r="25" spans="2:18" x14ac:dyDescent="0.25">
      <c r="B25" s="51">
        <v>2</v>
      </c>
      <c r="C25" s="52">
        <v>45751</v>
      </c>
      <c r="D25" s="51" t="s">
        <v>39</v>
      </c>
      <c r="E25" s="51">
        <v>2</v>
      </c>
      <c r="F25" s="51" t="s">
        <v>41</v>
      </c>
      <c r="G25" s="53">
        <v>28</v>
      </c>
      <c r="H25" s="54">
        <f t="shared" si="2"/>
        <v>56</v>
      </c>
      <c r="I25" s="48"/>
      <c r="J25" s="17"/>
      <c r="K25" s="17"/>
      <c r="L25" s="17"/>
      <c r="M25" s="16">
        <f t="shared" si="3"/>
        <v>0</v>
      </c>
      <c r="N25" s="31" t="s">
        <v>58</v>
      </c>
      <c r="O25" s="32" t="s">
        <v>16</v>
      </c>
      <c r="P25" s="33">
        <v>720</v>
      </c>
      <c r="Q25" s="34" t="s">
        <v>61</v>
      </c>
      <c r="R25" s="35" t="s">
        <v>38</v>
      </c>
    </row>
    <row r="26" spans="2:18" x14ac:dyDescent="0.25">
      <c r="B26" s="51">
        <v>2</v>
      </c>
      <c r="C26" s="52">
        <v>45752</v>
      </c>
      <c r="D26" s="51" t="s">
        <v>39</v>
      </c>
      <c r="E26" s="51">
        <v>3</v>
      </c>
      <c r="F26" s="51" t="s">
        <v>41</v>
      </c>
      <c r="G26" s="53">
        <v>28</v>
      </c>
      <c r="H26" s="54">
        <f t="shared" si="2"/>
        <v>84</v>
      </c>
      <c r="I26" s="49"/>
      <c r="J26" s="18"/>
      <c r="K26" s="18"/>
      <c r="L26" s="18"/>
      <c r="M26" s="16">
        <f t="shared" si="3"/>
        <v>0</v>
      </c>
      <c r="N26" s="32" t="s">
        <v>84</v>
      </c>
      <c r="O26" s="32" t="s">
        <v>44</v>
      </c>
      <c r="P26" s="33">
        <v>1500</v>
      </c>
      <c r="Q26" s="34" t="s">
        <v>61</v>
      </c>
      <c r="R26" s="35" t="s">
        <v>38</v>
      </c>
    </row>
    <row r="27" spans="2:18" x14ac:dyDescent="0.25">
      <c r="B27" s="51">
        <v>2</v>
      </c>
      <c r="C27" s="52">
        <v>45752</v>
      </c>
      <c r="D27" s="51" t="s">
        <v>55</v>
      </c>
      <c r="E27" s="51">
        <v>6</v>
      </c>
      <c r="F27" s="51" t="s">
        <v>41</v>
      </c>
      <c r="G27" s="53">
        <v>28</v>
      </c>
      <c r="H27" s="54">
        <f t="shared" si="2"/>
        <v>168</v>
      </c>
      <c r="I27" s="49"/>
      <c r="J27" s="18"/>
      <c r="K27" s="18"/>
      <c r="L27" s="18"/>
      <c r="M27" s="16">
        <f t="shared" si="3"/>
        <v>0</v>
      </c>
      <c r="N27" s="32" t="s">
        <v>79</v>
      </c>
      <c r="O27" s="32" t="s">
        <v>16</v>
      </c>
      <c r="P27" s="33">
        <v>2800</v>
      </c>
      <c r="Q27" s="34" t="s">
        <v>8</v>
      </c>
      <c r="R27" s="35" t="s">
        <v>38</v>
      </c>
    </row>
    <row r="28" spans="2:18" x14ac:dyDescent="0.25">
      <c r="B28" s="51">
        <v>2</v>
      </c>
      <c r="C28" s="52">
        <v>45752</v>
      </c>
      <c r="D28" s="51" t="s">
        <v>56</v>
      </c>
      <c r="E28" s="51">
        <v>6</v>
      </c>
      <c r="F28" s="51" t="s">
        <v>41</v>
      </c>
      <c r="G28" s="53">
        <v>28</v>
      </c>
      <c r="H28" s="54">
        <f t="shared" si="2"/>
        <v>168</v>
      </c>
      <c r="I28" s="49"/>
      <c r="J28" s="18"/>
      <c r="K28" s="18"/>
      <c r="L28" s="18"/>
      <c r="M28" s="16">
        <f t="shared" si="3"/>
        <v>0</v>
      </c>
      <c r="N28" s="32"/>
      <c r="O28" s="32"/>
      <c r="P28" s="33"/>
      <c r="Q28" s="34"/>
      <c r="R28" s="35"/>
    </row>
    <row r="29" spans="2:18" x14ac:dyDescent="0.25">
      <c r="B29" s="51">
        <v>2</v>
      </c>
      <c r="C29" s="52">
        <v>45753</v>
      </c>
      <c r="D29" s="51" t="s">
        <v>39</v>
      </c>
      <c r="E29" s="51">
        <v>3</v>
      </c>
      <c r="F29" s="51" t="s">
        <v>41</v>
      </c>
      <c r="G29" s="53">
        <v>28</v>
      </c>
      <c r="H29" s="54">
        <f t="shared" si="2"/>
        <v>84</v>
      </c>
      <c r="I29" s="49"/>
      <c r="J29" s="18"/>
      <c r="K29" s="18"/>
      <c r="L29" s="18"/>
      <c r="M29" s="16">
        <f t="shared" si="3"/>
        <v>0</v>
      </c>
      <c r="N29" s="32"/>
      <c r="O29" s="32"/>
      <c r="P29" s="33"/>
      <c r="Q29" s="34"/>
      <c r="R29" s="35"/>
    </row>
    <row r="30" spans="2:18" x14ac:dyDescent="0.25">
      <c r="B30" s="51">
        <v>2</v>
      </c>
      <c r="C30" s="52">
        <v>45747</v>
      </c>
      <c r="D30" s="51" t="s">
        <v>39</v>
      </c>
      <c r="E30" s="51">
        <v>4</v>
      </c>
      <c r="F30" s="51" t="s">
        <v>40</v>
      </c>
      <c r="G30" s="53">
        <v>28</v>
      </c>
      <c r="H30" s="54">
        <f>E30*G30</f>
        <v>112</v>
      </c>
      <c r="I30" s="47">
        <v>25</v>
      </c>
      <c r="J30" s="16">
        <v>1.5</v>
      </c>
      <c r="K30" s="16">
        <v>0.25</v>
      </c>
      <c r="L30" s="16">
        <v>1</v>
      </c>
      <c r="M30" s="16">
        <f>SUM(I30:L30)</f>
        <v>27.75</v>
      </c>
      <c r="N30" s="31" t="s">
        <v>50</v>
      </c>
      <c r="O30" s="32" t="s">
        <v>16</v>
      </c>
      <c r="P30" s="33">
        <v>420</v>
      </c>
      <c r="Q30" s="34" t="s">
        <v>61</v>
      </c>
      <c r="R30" s="32" t="s">
        <v>38</v>
      </c>
    </row>
    <row r="31" spans="2:18" x14ac:dyDescent="0.25">
      <c r="B31" s="51">
        <v>2</v>
      </c>
      <c r="C31" s="52">
        <v>45748</v>
      </c>
      <c r="D31" s="51" t="s">
        <v>46</v>
      </c>
      <c r="E31" s="51">
        <v>4</v>
      </c>
      <c r="F31" s="51" t="s">
        <v>41</v>
      </c>
      <c r="G31" s="53">
        <v>28</v>
      </c>
      <c r="H31" s="54">
        <f t="shared" ref="H31:H42" si="4">E31*G31</f>
        <v>112</v>
      </c>
      <c r="I31" s="47"/>
      <c r="J31" s="16"/>
      <c r="K31" s="16"/>
      <c r="L31" s="16"/>
      <c r="M31" s="16">
        <f t="shared" ref="M31:M42" si="5">SUM(I31:L31)</f>
        <v>0</v>
      </c>
      <c r="N31" s="31" t="s">
        <v>51</v>
      </c>
      <c r="O31" s="32" t="s">
        <v>16</v>
      </c>
      <c r="P31" s="33">
        <v>320</v>
      </c>
      <c r="Q31" s="34" t="s">
        <v>61</v>
      </c>
      <c r="R31" s="32" t="s">
        <v>38</v>
      </c>
    </row>
    <row r="32" spans="2:18" x14ac:dyDescent="0.25">
      <c r="B32" s="51">
        <v>2</v>
      </c>
      <c r="C32" s="52">
        <v>45749</v>
      </c>
      <c r="D32" s="51" t="s">
        <v>46</v>
      </c>
      <c r="E32" s="51">
        <v>6</v>
      </c>
      <c r="F32" s="51" t="s">
        <v>41</v>
      </c>
      <c r="G32" s="53">
        <v>28</v>
      </c>
      <c r="H32" s="54">
        <f t="shared" si="4"/>
        <v>168</v>
      </c>
      <c r="I32" s="47"/>
      <c r="J32" s="16"/>
      <c r="K32" s="16"/>
      <c r="L32" s="16"/>
      <c r="M32" s="16">
        <f t="shared" si="5"/>
        <v>0</v>
      </c>
      <c r="N32" s="31" t="s">
        <v>52</v>
      </c>
      <c r="O32" s="32" t="s">
        <v>44</v>
      </c>
      <c r="P32" s="33">
        <v>300</v>
      </c>
      <c r="Q32" s="34" t="s">
        <v>8</v>
      </c>
      <c r="R32" s="32" t="s">
        <v>38</v>
      </c>
    </row>
    <row r="33" spans="2:18" x14ac:dyDescent="0.25">
      <c r="B33" s="51">
        <v>2</v>
      </c>
      <c r="C33" s="52">
        <v>45749</v>
      </c>
      <c r="D33" s="51" t="s">
        <v>47</v>
      </c>
      <c r="E33" s="51">
        <v>2</v>
      </c>
      <c r="F33" s="51" t="s">
        <v>41</v>
      </c>
      <c r="G33" s="53">
        <v>28</v>
      </c>
      <c r="H33" s="54">
        <f t="shared" si="4"/>
        <v>56</v>
      </c>
      <c r="I33" s="47"/>
      <c r="J33" s="16"/>
      <c r="K33" s="16"/>
      <c r="L33" s="16"/>
      <c r="M33" s="16">
        <f t="shared" si="5"/>
        <v>0</v>
      </c>
      <c r="N33" s="31" t="s">
        <v>52</v>
      </c>
      <c r="O33" s="32" t="s">
        <v>16</v>
      </c>
      <c r="P33" s="33">
        <v>330</v>
      </c>
      <c r="Q33" s="34" t="s">
        <v>61</v>
      </c>
      <c r="R33" s="32" t="s">
        <v>38</v>
      </c>
    </row>
    <row r="34" spans="2:18" x14ac:dyDescent="0.25">
      <c r="B34" s="51">
        <v>2</v>
      </c>
      <c r="C34" s="52">
        <v>45750</v>
      </c>
      <c r="D34" s="51" t="s">
        <v>47</v>
      </c>
      <c r="E34" s="51">
        <v>4</v>
      </c>
      <c r="F34" s="51" t="s">
        <v>41</v>
      </c>
      <c r="G34" s="53">
        <v>28</v>
      </c>
      <c r="H34" s="54">
        <f t="shared" si="4"/>
        <v>112</v>
      </c>
      <c r="I34" s="47">
        <v>10</v>
      </c>
      <c r="J34" s="16">
        <v>1.5</v>
      </c>
      <c r="K34" s="16">
        <v>0.25</v>
      </c>
      <c r="L34" s="16">
        <v>1</v>
      </c>
      <c r="M34" s="16">
        <f t="shared" si="5"/>
        <v>12.75</v>
      </c>
      <c r="N34" s="31" t="s">
        <v>53</v>
      </c>
      <c r="O34" s="32" t="s">
        <v>16</v>
      </c>
      <c r="P34" s="33">
        <v>420</v>
      </c>
      <c r="Q34" s="34" t="s">
        <v>61</v>
      </c>
      <c r="R34" s="32" t="s">
        <v>38</v>
      </c>
    </row>
    <row r="35" spans="2:18" x14ac:dyDescent="0.25">
      <c r="B35" s="51">
        <v>2</v>
      </c>
      <c r="C35" s="52">
        <v>45750</v>
      </c>
      <c r="D35" s="51" t="s">
        <v>39</v>
      </c>
      <c r="E35" s="51">
        <v>3</v>
      </c>
      <c r="F35" s="51" t="s">
        <v>41</v>
      </c>
      <c r="G35" s="53">
        <v>28</v>
      </c>
      <c r="H35" s="54">
        <f t="shared" si="4"/>
        <v>84</v>
      </c>
      <c r="I35" s="48"/>
      <c r="J35" s="17"/>
      <c r="K35" s="17"/>
      <c r="L35" s="17"/>
      <c r="M35" s="16">
        <f t="shared" si="5"/>
        <v>0</v>
      </c>
      <c r="N35" s="31" t="s">
        <v>54</v>
      </c>
      <c r="O35" s="32" t="s">
        <v>16</v>
      </c>
      <c r="P35" s="33">
        <v>420</v>
      </c>
      <c r="Q35" s="34" t="s">
        <v>61</v>
      </c>
      <c r="R35" s="32" t="s">
        <v>38</v>
      </c>
    </row>
    <row r="36" spans="2:18" x14ac:dyDescent="0.25">
      <c r="B36" s="51">
        <v>2</v>
      </c>
      <c r="C36" s="52">
        <v>45751</v>
      </c>
      <c r="D36" s="51" t="s">
        <v>55</v>
      </c>
      <c r="E36" s="51">
        <v>6.15</v>
      </c>
      <c r="F36" s="51" t="s">
        <v>41</v>
      </c>
      <c r="G36" s="53">
        <v>28</v>
      </c>
      <c r="H36" s="54">
        <f t="shared" si="4"/>
        <v>172.20000000000002</v>
      </c>
      <c r="I36" s="48"/>
      <c r="J36" s="17"/>
      <c r="K36" s="17"/>
      <c r="L36" s="17"/>
      <c r="M36" s="16">
        <f t="shared" si="5"/>
        <v>0</v>
      </c>
      <c r="N36" s="31" t="s">
        <v>26</v>
      </c>
      <c r="O36" s="32" t="s">
        <v>16</v>
      </c>
      <c r="P36" s="33">
        <v>520</v>
      </c>
      <c r="Q36" s="34" t="s">
        <v>61</v>
      </c>
      <c r="R36" s="35" t="s">
        <v>38</v>
      </c>
    </row>
    <row r="37" spans="2:18" x14ac:dyDescent="0.25">
      <c r="B37" s="51">
        <v>2</v>
      </c>
      <c r="C37" s="52">
        <v>45751</v>
      </c>
      <c r="D37" s="51" t="s">
        <v>56</v>
      </c>
      <c r="E37" s="51">
        <v>6</v>
      </c>
      <c r="F37" s="51" t="s">
        <v>41</v>
      </c>
      <c r="G37" s="53">
        <v>28</v>
      </c>
      <c r="H37" s="54">
        <f t="shared" si="4"/>
        <v>168</v>
      </c>
      <c r="I37" s="48"/>
      <c r="J37" s="17"/>
      <c r="K37" s="17"/>
      <c r="L37" s="17"/>
      <c r="M37" s="16">
        <f t="shared" si="5"/>
        <v>0</v>
      </c>
      <c r="N37" s="31" t="s">
        <v>27</v>
      </c>
      <c r="O37" s="32" t="s">
        <v>16</v>
      </c>
      <c r="P37" s="33">
        <v>200</v>
      </c>
      <c r="Q37" s="34" t="s">
        <v>61</v>
      </c>
      <c r="R37" s="35" t="s">
        <v>38</v>
      </c>
    </row>
    <row r="38" spans="2:18" x14ac:dyDescent="0.25">
      <c r="B38" s="51">
        <v>2</v>
      </c>
      <c r="C38" s="52">
        <v>45751</v>
      </c>
      <c r="D38" s="51" t="s">
        <v>39</v>
      </c>
      <c r="E38" s="51">
        <v>2</v>
      </c>
      <c r="F38" s="51" t="s">
        <v>41</v>
      </c>
      <c r="G38" s="53">
        <v>28</v>
      </c>
      <c r="H38" s="54">
        <f t="shared" si="4"/>
        <v>56</v>
      </c>
      <c r="I38" s="48"/>
      <c r="J38" s="17"/>
      <c r="K38" s="17"/>
      <c r="L38" s="17"/>
      <c r="M38" s="16">
        <f t="shared" si="5"/>
        <v>0</v>
      </c>
      <c r="N38" s="31" t="s">
        <v>58</v>
      </c>
      <c r="O38" s="32" t="s">
        <v>16</v>
      </c>
      <c r="P38" s="33">
        <v>720</v>
      </c>
      <c r="Q38" s="34" t="s">
        <v>61</v>
      </c>
      <c r="R38" s="35" t="s">
        <v>38</v>
      </c>
    </row>
    <row r="39" spans="2:18" x14ac:dyDescent="0.25">
      <c r="B39" s="51">
        <v>2</v>
      </c>
      <c r="C39" s="52">
        <v>45752</v>
      </c>
      <c r="D39" s="51" t="s">
        <v>39</v>
      </c>
      <c r="E39" s="51">
        <v>3</v>
      </c>
      <c r="F39" s="51" t="s">
        <v>41</v>
      </c>
      <c r="G39" s="53">
        <v>28</v>
      </c>
      <c r="H39" s="54">
        <f t="shared" si="4"/>
        <v>84</v>
      </c>
      <c r="I39" s="49"/>
      <c r="J39" s="18"/>
      <c r="K39" s="18"/>
      <c r="L39" s="18"/>
      <c r="M39" s="16">
        <f t="shared" si="5"/>
        <v>0</v>
      </c>
      <c r="N39" s="32" t="s">
        <v>84</v>
      </c>
      <c r="O39" s="32" t="s">
        <v>44</v>
      </c>
      <c r="P39" s="33">
        <v>1500</v>
      </c>
      <c r="Q39" s="34" t="s">
        <v>61</v>
      </c>
      <c r="R39" s="35" t="s">
        <v>38</v>
      </c>
    </row>
    <row r="40" spans="2:18" x14ac:dyDescent="0.25">
      <c r="B40" s="51">
        <v>2</v>
      </c>
      <c r="C40" s="52">
        <v>45752</v>
      </c>
      <c r="D40" s="51" t="s">
        <v>55</v>
      </c>
      <c r="E40" s="51">
        <v>6</v>
      </c>
      <c r="F40" s="51" t="s">
        <v>41</v>
      </c>
      <c r="G40" s="53">
        <v>28</v>
      </c>
      <c r="H40" s="54">
        <f t="shared" si="4"/>
        <v>168</v>
      </c>
      <c r="I40" s="49"/>
      <c r="J40" s="18"/>
      <c r="K40" s="18"/>
      <c r="L40" s="18"/>
      <c r="M40" s="16">
        <f t="shared" si="5"/>
        <v>0</v>
      </c>
      <c r="N40" s="32" t="s">
        <v>79</v>
      </c>
      <c r="O40" s="32" t="s">
        <v>16</v>
      </c>
      <c r="P40" s="33">
        <v>2800</v>
      </c>
      <c r="Q40" s="34" t="s">
        <v>8</v>
      </c>
      <c r="R40" s="35" t="s">
        <v>38</v>
      </c>
    </row>
    <row r="41" spans="2:18" x14ac:dyDescent="0.25">
      <c r="B41" s="51">
        <v>2</v>
      </c>
      <c r="C41" s="52">
        <v>45752</v>
      </c>
      <c r="D41" s="51" t="s">
        <v>56</v>
      </c>
      <c r="E41" s="51">
        <v>6</v>
      </c>
      <c r="F41" s="51" t="s">
        <v>41</v>
      </c>
      <c r="G41" s="53">
        <v>28</v>
      </c>
      <c r="H41" s="54">
        <f t="shared" si="4"/>
        <v>168</v>
      </c>
      <c r="I41" s="49"/>
      <c r="J41" s="18"/>
      <c r="K41" s="18"/>
      <c r="L41" s="18"/>
      <c r="M41" s="16">
        <f t="shared" si="5"/>
        <v>0</v>
      </c>
      <c r="N41" s="32"/>
      <c r="O41" s="32"/>
      <c r="P41" s="33"/>
      <c r="Q41" s="34"/>
      <c r="R41" s="35"/>
    </row>
    <row r="42" spans="2:18" x14ac:dyDescent="0.25">
      <c r="B42" s="51">
        <v>2</v>
      </c>
      <c r="C42" s="52">
        <v>45753</v>
      </c>
      <c r="D42" s="51" t="s">
        <v>39</v>
      </c>
      <c r="E42" s="51">
        <v>3</v>
      </c>
      <c r="F42" s="51" t="s">
        <v>41</v>
      </c>
      <c r="G42" s="53">
        <v>28</v>
      </c>
      <c r="H42" s="54">
        <f t="shared" si="4"/>
        <v>84</v>
      </c>
      <c r="I42" s="49"/>
      <c r="J42" s="18"/>
      <c r="K42" s="18"/>
      <c r="L42" s="18"/>
      <c r="M42" s="16">
        <f t="shared" si="5"/>
        <v>0</v>
      </c>
      <c r="N42" s="32"/>
      <c r="O42" s="32"/>
      <c r="P42" s="33"/>
      <c r="Q42" s="34"/>
      <c r="R42" s="35"/>
    </row>
    <row r="43" spans="2:18" x14ac:dyDescent="0.25">
      <c r="B43" s="51">
        <v>2</v>
      </c>
      <c r="C43" s="52">
        <v>45754</v>
      </c>
      <c r="D43" s="51" t="s">
        <v>39</v>
      </c>
      <c r="E43" s="51">
        <v>10</v>
      </c>
      <c r="F43" s="51" t="s">
        <v>40</v>
      </c>
      <c r="G43" s="53">
        <v>28</v>
      </c>
      <c r="H43" s="54">
        <f>E43*G43</f>
        <v>280</v>
      </c>
      <c r="I43" s="47">
        <v>25</v>
      </c>
      <c r="J43" s="16">
        <v>1.5</v>
      </c>
      <c r="K43" s="16">
        <v>0.25</v>
      </c>
      <c r="L43" s="16">
        <v>1</v>
      </c>
      <c r="M43" s="16">
        <f>SUM(I43:L43)</f>
        <v>27.75</v>
      </c>
      <c r="N43" s="31" t="s">
        <v>50</v>
      </c>
      <c r="O43" s="32" t="s">
        <v>16</v>
      </c>
      <c r="P43" s="33">
        <v>420</v>
      </c>
      <c r="Q43" s="34" t="s">
        <v>61</v>
      </c>
      <c r="R43" s="32" t="s">
        <v>38</v>
      </c>
    </row>
    <row r="44" spans="2:18" x14ac:dyDescent="0.25">
      <c r="B44" s="51">
        <v>2</v>
      </c>
      <c r="C44" s="52">
        <v>45755</v>
      </c>
      <c r="D44" s="51" t="s">
        <v>46</v>
      </c>
      <c r="E44" s="51">
        <v>10</v>
      </c>
      <c r="F44" s="51" t="s">
        <v>41</v>
      </c>
      <c r="G44" s="53">
        <v>28</v>
      </c>
      <c r="H44" s="54">
        <f t="shared" ref="H44:H55" si="6">E44*G44</f>
        <v>280</v>
      </c>
      <c r="I44" s="47"/>
      <c r="J44" s="16"/>
      <c r="K44" s="16"/>
      <c r="L44" s="16"/>
      <c r="M44" s="16">
        <f t="shared" ref="M44:M55" si="7">SUM(I44:L44)</f>
        <v>0</v>
      </c>
      <c r="N44" s="31" t="s">
        <v>51</v>
      </c>
      <c r="O44" s="32" t="s">
        <v>16</v>
      </c>
      <c r="P44" s="33">
        <v>1000</v>
      </c>
      <c r="Q44" s="34" t="s">
        <v>61</v>
      </c>
      <c r="R44" s="32" t="s">
        <v>38</v>
      </c>
    </row>
    <row r="45" spans="2:18" x14ac:dyDescent="0.25">
      <c r="B45" s="51">
        <v>2</v>
      </c>
      <c r="C45" s="52">
        <v>45756</v>
      </c>
      <c r="D45" s="51" t="s">
        <v>46</v>
      </c>
      <c r="E45" s="51">
        <v>10</v>
      </c>
      <c r="F45" s="51" t="s">
        <v>41</v>
      </c>
      <c r="G45" s="53">
        <v>28</v>
      </c>
      <c r="H45" s="54">
        <f t="shared" si="6"/>
        <v>280</v>
      </c>
      <c r="I45" s="47"/>
      <c r="J45" s="16"/>
      <c r="K45" s="16"/>
      <c r="L45" s="16"/>
      <c r="M45" s="16">
        <f t="shared" si="7"/>
        <v>0</v>
      </c>
      <c r="N45" s="31" t="s">
        <v>80</v>
      </c>
      <c r="O45" s="32" t="s">
        <v>44</v>
      </c>
      <c r="P45" s="33">
        <v>300</v>
      </c>
      <c r="Q45" s="34" t="s">
        <v>8</v>
      </c>
      <c r="R45" s="32" t="s">
        <v>38</v>
      </c>
    </row>
    <row r="46" spans="2:18" x14ac:dyDescent="0.25">
      <c r="B46" s="51">
        <v>2</v>
      </c>
      <c r="C46" s="52">
        <v>45757</v>
      </c>
      <c r="D46" s="51" t="s">
        <v>47</v>
      </c>
      <c r="E46" s="51">
        <v>10</v>
      </c>
      <c r="F46" s="51" t="s">
        <v>41</v>
      </c>
      <c r="G46" s="53">
        <v>28</v>
      </c>
      <c r="H46" s="54">
        <f t="shared" si="6"/>
        <v>280</v>
      </c>
      <c r="I46" s="47"/>
      <c r="J46" s="16"/>
      <c r="K46" s="16"/>
      <c r="L46" s="16"/>
      <c r="M46" s="16">
        <f t="shared" si="7"/>
        <v>0</v>
      </c>
      <c r="N46" s="31" t="s">
        <v>52</v>
      </c>
      <c r="O46" s="32" t="s">
        <v>16</v>
      </c>
      <c r="P46" s="33">
        <v>330</v>
      </c>
      <c r="Q46" s="34" t="s">
        <v>61</v>
      </c>
      <c r="R46" s="32" t="s">
        <v>38</v>
      </c>
    </row>
    <row r="47" spans="2:18" x14ac:dyDescent="0.25">
      <c r="B47" s="51">
        <v>2</v>
      </c>
      <c r="C47" s="52">
        <v>45758</v>
      </c>
      <c r="D47" s="51" t="s">
        <v>47</v>
      </c>
      <c r="E47" s="51">
        <v>4</v>
      </c>
      <c r="F47" s="51" t="s">
        <v>41</v>
      </c>
      <c r="G47" s="53">
        <v>28</v>
      </c>
      <c r="H47" s="54">
        <f t="shared" si="6"/>
        <v>112</v>
      </c>
      <c r="I47" s="47">
        <v>10</v>
      </c>
      <c r="J47" s="16">
        <v>1.5</v>
      </c>
      <c r="K47" s="16">
        <v>0.25</v>
      </c>
      <c r="L47" s="16">
        <v>1</v>
      </c>
      <c r="M47" s="16">
        <f t="shared" si="7"/>
        <v>12.75</v>
      </c>
      <c r="N47" s="31" t="s">
        <v>53</v>
      </c>
      <c r="O47" s="32" t="s">
        <v>16</v>
      </c>
      <c r="P47" s="33">
        <v>500</v>
      </c>
      <c r="Q47" s="34" t="s">
        <v>61</v>
      </c>
      <c r="R47" s="32" t="s">
        <v>38</v>
      </c>
    </row>
    <row r="48" spans="2:18" x14ac:dyDescent="0.25">
      <c r="B48" s="51">
        <v>2</v>
      </c>
      <c r="C48" s="52">
        <v>45759</v>
      </c>
      <c r="D48" s="51" t="s">
        <v>39</v>
      </c>
      <c r="E48" s="51">
        <v>3</v>
      </c>
      <c r="F48" s="51" t="s">
        <v>41</v>
      </c>
      <c r="G48" s="53">
        <v>28</v>
      </c>
      <c r="H48" s="54">
        <f t="shared" si="6"/>
        <v>84</v>
      </c>
      <c r="I48" s="48"/>
      <c r="J48" s="17"/>
      <c r="K48" s="17"/>
      <c r="L48" s="17"/>
      <c r="M48" s="16">
        <f t="shared" si="7"/>
        <v>0</v>
      </c>
      <c r="N48" s="31" t="s">
        <v>54</v>
      </c>
      <c r="O48" s="32" t="s">
        <v>16</v>
      </c>
      <c r="P48" s="33">
        <v>420</v>
      </c>
      <c r="Q48" s="34" t="s">
        <v>61</v>
      </c>
      <c r="R48" s="32" t="s">
        <v>38</v>
      </c>
    </row>
    <row r="49" spans="2:18" x14ac:dyDescent="0.25">
      <c r="B49" s="51">
        <v>2</v>
      </c>
      <c r="C49" s="52">
        <v>45760</v>
      </c>
      <c r="D49" s="51" t="s">
        <v>55</v>
      </c>
      <c r="E49" s="51">
        <v>6.15</v>
      </c>
      <c r="F49" s="51" t="s">
        <v>41</v>
      </c>
      <c r="G49" s="53">
        <v>28</v>
      </c>
      <c r="H49" s="54">
        <f t="shared" si="6"/>
        <v>172.20000000000002</v>
      </c>
      <c r="I49" s="48"/>
      <c r="J49" s="17"/>
      <c r="K49" s="17"/>
      <c r="L49" s="17"/>
      <c r="M49" s="16">
        <f t="shared" si="7"/>
        <v>0</v>
      </c>
      <c r="N49" s="31" t="s">
        <v>26</v>
      </c>
      <c r="O49" s="32" t="s">
        <v>16</v>
      </c>
      <c r="P49" s="33">
        <v>520</v>
      </c>
      <c r="Q49" s="34" t="s">
        <v>61</v>
      </c>
      <c r="R49" s="35" t="s">
        <v>38</v>
      </c>
    </row>
    <row r="50" spans="2:18" x14ac:dyDescent="0.25">
      <c r="B50" s="51">
        <v>2</v>
      </c>
      <c r="C50" s="52">
        <v>45761</v>
      </c>
      <c r="D50" s="51" t="s">
        <v>56</v>
      </c>
      <c r="E50" s="51">
        <v>6</v>
      </c>
      <c r="F50" s="51" t="s">
        <v>41</v>
      </c>
      <c r="G50" s="53">
        <v>28</v>
      </c>
      <c r="H50" s="54">
        <f t="shared" si="6"/>
        <v>168</v>
      </c>
      <c r="I50" s="48"/>
      <c r="J50" s="17"/>
      <c r="K50" s="17"/>
      <c r="L50" s="17"/>
      <c r="M50" s="16">
        <f t="shared" si="7"/>
        <v>0</v>
      </c>
      <c r="N50" s="31" t="s">
        <v>27</v>
      </c>
      <c r="O50" s="32" t="s">
        <v>16</v>
      </c>
      <c r="P50" s="33">
        <v>200</v>
      </c>
      <c r="Q50" s="34" t="s">
        <v>61</v>
      </c>
      <c r="R50" s="35" t="s">
        <v>38</v>
      </c>
    </row>
    <row r="51" spans="2:18" x14ac:dyDescent="0.25">
      <c r="B51" s="51">
        <v>2</v>
      </c>
      <c r="C51" s="52">
        <v>45762</v>
      </c>
      <c r="D51" s="51" t="s">
        <v>39</v>
      </c>
      <c r="E51" s="51">
        <v>2</v>
      </c>
      <c r="F51" s="51" t="s">
        <v>41</v>
      </c>
      <c r="G51" s="53">
        <v>28</v>
      </c>
      <c r="H51" s="54">
        <f t="shared" si="6"/>
        <v>56</v>
      </c>
      <c r="I51" s="48"/>
      <c r="J51" s="17"/>
      <c r="K51" s="17"/>
      <c r="L51" s="17"/>
      <c r="M51" s="16">
        <f t="shared" si="7"/>
        <v>0</v>
      </c>
      <c r="N51" s="31" t="s">
        <v>58</v>
      </c>
      <c r="O51" s="32" t="s">
        <v>16</v>
      </c>
      <c r="P51" s="33">
        <v>720</v>
      </c>
      <c r="Q51" s="34" t="s">
        <v>61</v>
      </c>
      <c r="R51" s="35" t="s">
        <v>38</v>
      </c>
    </row>
    <row r="52" spans="2:18" x14ac:dyDescent="0.25">
      <c r="B52" s="51">
        <v>2</v>
      </c>
      <c r="C52" s="52">
        <v>45763</v>
      </c>
      <c r="D52" s="51" t="s">
        <v>39</v>
      </c>
      <c r="E52" s="51">
        <v>3</v>
      </c>
      <c r="F52" s="51" t="s">
        <v>41</v>
      </c>
      <c r="G52" s="53">
        <v>28</v>
      </c>
      <c r="H52" s="54">
        <f t="shared" si="6"/>
        <v>84</v>
      </c>
      <c r="I52" s="49"/>
      <c r="J52" s="18"/>
      <c r="K52" s="18"/>
      <c r="L52" s="18"/>
      <c r="M52" s="16">
        <f t="shared" si="7"/>
        <v>0</v>
      </c>
      <c r="N52" s="32" t="s">
        <v>84</v>
      </c>
      <c r="O52" s="32" t="s">
        <v>44</v>
      </c>
      <c r="P52" s="33">
        <v>1500</v>
      </c>
      <c r="Q52" s="34" t="s">
        <v>61</v>
      </c>
      <c r="R52" s="35" t="s">
        <v>38</v>
      </c>
    </row>
    <row r="53" spans="2:18" x14ac:dyDescent="0.25">
      <c r="B53" s="51">
        <v>2</v>
      </c>
      <c r="C53" s="52">
        <v>45764</v>
      </c>
      <c r="D53" s="51" t="s">
        <v>55</v>
      </c>
      <c r="E53" s="51">
        <v>6</v>
      </c>
      <c r="F53" s="51" t="s">
        <v>41</v>
      </c>
      <c r="G53" s="53">
        <v>28</v>
      </c>
      <c r="H53" s="54">
        <f t="shared" si="6"/>
        <v>168</v>
      </c>
      <c r="I53" s="49"/>
      <c r="J53" s="18"/>
      <c r="K53" s="18"/>
      <c r="L53" s="18"/>
      <c r="M53" s="16">
        <f t="shared" si="7"/>
        <v>0</v>
      </c>
      <c r="N53" s="32" t="s">
        <v>79</v>
      </c>
      <c r="O53" s="32" t="s">
        <v>16</v>
      </c>
      <c r="P53" s="33">
        <v>2800</v>
      </c>
      <c r="Q53" s="34" t="s">
        <v>8</v>
      </c>
      <c r="R53" s="35" t="s">
        <v>38</v>
      </c>
    </row>
    <row r="54" spans="2:18" x14ac:dyDescent="0.25">
      <c r="B54" s="51">
        <v>2</v>
      </c>
      <c r="C54" s="52">
        <v>45765</v>
      </c>
      <c r="D54" s="51" t="s">
        <v>56</v>
      </c>
      <c r="E54" s="51">
        <v>6</v>
      </c>
      <c r="F54" s="51" t="s">
        <v>41</v>
      </c>
      <c r="G54" s="53">
        <v>28</v>
      </c>
      <c r="H54" s="54">
        <f t="shared" si="6"/>
        <v>168</v>
      </c>
      <c r="I54" s="49"/>
      <c r="J54" s="18"/>
      <c r="K54" s="18"/>
      <c r="L54" s="18"/>
      <c r="M54" s="16">
        <f t="shared" si="7"/>
        <v>0</v>
      </c>
      <c r="N54" s="32" t="s">
        <v>52</v>
      </c>
      <c r="O54" s="32" t="s">
        <v>16</v>
      </c>
      <c r="P54" s="33">
        <v>600</v>
      </c>
      <c r="Q54" s="34" t="s">
        <v>8</v>
      </c>
      <c r="R54" s="35" t="s">
        <v>38</v>
      </c>
    </row>
    <row r="55" spans="2:18" x14ac:dyDescent="0.25">
      <c r="B55" s="51">
        <v>2</v>
      </c>
      <c r="C55" s="52">
        <v>45766</v>
      </c>
      <c r="D55" s="51" t="s">
        <v>39</v>
      </c>
      <c r="E55" s="51">
        <v>3</v>
      </c>
      <c r="F55" s="51" t="s">
        <v>41</v>
      </c>
      <c r="G55" s="53">
        <v>28</v>
      </c>
      <c r="H55" s="54">
        <f t="shared" si="6"/>
        <v>84</v>
      </c>
      <c r="I55" s="49"/>
      <c r="J55" s="18"/>
      <c r="K55" s="18"/>
      <c r="L55" s="18"/>
      <c r="M55" s="16">
        <f t="shared" si="7"/>
        <v>0</v>
      </c>
      <c r="N55" s="32"/>
      <c r="O55" s="32"/>
      <c r="P55" s="33"/>
      <c r="Q55" s="34"/>
      <c r="R55" s="35"/>
    </row>
    <row r="56" spans="2:18" x14ac:dyDescent="0.25">
      <c r="B56" s="51">
        <v>3</v>
      </c>
      <c r="C56" s="52">
        <v>45797</v>
      </c>
      <c r="D56" s="51" t="s">
        <v>39</v>
      </c>
      <c r="E56" s="51">
        <v>10</v>
      </c>
      <c r="F56" s="51" t="s">
        <v>40</v>
      </c>
      <c r="G56" s="53">
        <v>28</v>
      </c>
      <c r="H56" s="54">
        <f>E56*G56</f>
        <v>280</v>
      </c>
      <c r="I56" s="47">
        <v>25</v>
      </c>
      <c r="J56" s="16">
        <v>1.5</v>
      </c>
      <c r="K56" s="16">
        <v>0.25</v>
      </c>
      <c r="L56" s="16">
        <v>1</v>
      </c>
      <c r="M56" s="16">
        <f>SUM(I56:L56)</f>
        <v>27.75</v>
      </c>
      <c r="N56" s="31" t="s">
        <v>50</v>
      </c>
      <c r="O56" s="32" t="s">
        <v>16</v>
      </c>
      <c r="P56" s="33">
        <v>420</v>
      </c>
      <c r="Q56" s="34" t="s">
        <v>61</v>
      </c>
      <c r="R56" s="32" t="s">
        <v>38</v>
      </c>
    </row>
    <row r="57" spans="2:18" x14ac:dyDescent="0.25">
      <c r="B57" s="51">
        <v>3</v>
      </c>
      <c r="C57" s="52">
        <v>45798</v>
      </c>
      <c r="D57" s="51" t="s">
        <v>46</v>
      </c>
      <c r="E57" s="51">
        <v>4</v>
      </c>
      <c r="F57" s="51" t="s">
        <v>41</v>
      </c>
      <c r="G57" s="53">
        <v>28</v>
      </c>
      <c r="H57" s="54">
        <f t="shared" ref="H57:H68" si="8">E57*G57</f>
        <v>112</v>
      </c>
      <c r="I57" s="47"/>
      <c r="J57" s="16"/>
      <c r="K57" s="16"/>
      <c r="L57" s="16"/>
      <c r="M57" s="16">
        <f t="shared" ref="M57:M68" si="9">SUM(I57:L57)</f>
        <v>0</v>
      </c>
      <c r="N57" s="31" t="s">
        <v>51</v>
      </c>
      <c r="O57" s="32" t="s">
        <v>16</v>
      </c>
      <c r="P57" s="33">
        <v>50</v>
      </c>
      <c r="Q57" s="34" t="s">
        <v>61</v>
      </c>
      <c r="R57" s="32" t="s">
        <v>38</v>
      </c>
    </row>
    <row r="58" spans="2:18" x14ac:dyDescent="0.25">
      <c r="B58" s="51">
        <v>3</v>
      </c>
      <c r="C58" s="52">
        <v>45799</v>
      </c>
      <c r="D58" s="51" t="s">
        <v>46</v>
      </c>
      <c r="E58" s="51">
        <v>2</v>
      </c>
      <c r="F58" s="51" t="s">
        <v>41</v>
      </c>
      <c r="G58" s="53">
        <v>28</v>
      </c>
      <c r="H58" s="54">
        <f t="shared" si="8"/>
        <v>56</v>
      </c>
      <c r="I58" s="47"/>
      <c r="J58" s="16"/>
      <c r="K58" s="16"/>
      <c r="L58" s="16"/>
      <c r="M58" s="16">
        <f t="shared" si="9"/>
        <v>0</v>
      </c>
      <c r="N58" s="31" t="s">
        <v>80</v>
      </c>
      <c r="O58" s="32" t="s">
        <v>44</v>
      </c>
      <c r="P58" s="33">
        <v>300</v>
      </c>
      <c r="Q58" s="34" t="s">
        <v>8</v>
      </c>
      <c r="R58" s="32" t="s">
        <v>38</v>
      </c>
    </row>
    <row r="59" spans="2:18" x14ac:dyDescent="0.25">
      <c r="B59" s="51">
        <v>3</v>
      </c>
      <c r="C59" s="52">
        <v>45800</v>
      </c>
      <c r="D59" s="51" t="s">
        <v>47</v>
      </c>
      <c r="E59" s="51">
        <v>1</v>
      </c>
      <c r="F59" s="51" t="s">
        <v>41</v>
      </c>
      <c r="G59" s="53">
        <v>28</v>
      </c>
      <c r="H59" s="54">
        <f t="shared" si="8"/>
        <v>28</v>
      </c>
      <c r="I59" s="47"/>
      <c r="J59" s="16"/>
      <c r="K59" s="16"/>
      <c r="L59" s="16"/>
      <c r="M59" s="16">
        <f t="shared" si="9"/>
        <v>0</v>
      </c>
      <c r="N59" s="31" t="s">
        <v>52</v>
      </c>
      <c r="O59" s="32" t="s">
        <v>16</v>
      </c>
      <c r="P59" s="33">
        <v>330</v>
      </c>
      <c r="Q59" s="34" t="s">
        <v>61</v>
      </c>
      <c r="R59" s="32" t="s">
        <v>38</v>
      </c>
    </row>
    <row r="60" spans="2:18" x14ac:dyDescent="0.25">
      <c r="B60" s="51">
        <v>3</v>
      </c>
      <c r="C60" s="52">
        <v>45801</v>
      </c>
      <c r="D60" s="51" t="s">
        <v>47</v>
      </c>
      <c r="E60" s="51">
        <v>5</v>
      </c>
      <c r="F60" s="51" t="s">
        <v>41</v>
      </c>
      <c r="G60" s="53">
        <v>28</v>
      </c>
      <c r="H60" s="54">
        <f t="shared" si="8"/>
        <v>140</v>
      </c>
      <c r="I60" s="47">
        <v>10</v>
      </c>
      <c r="J60" s="16">
        <v>1.5</v>
      </c>
      <c r="K60" s="16">
        <v>0.25</v>
      </c>
      <c r="L60" s="16">
        <v>1</v>
      </c>
      <c r="M60" s="16">
        <f t="shared" si="9"/>
        <v>12.75</v>
      </c>
      <c r="N60" s="31" t="s">
        <v>53</v>
      </c>
      <c r="O60" s="32" t="s">
        <v>16</v>
      </c>
      <c r="P60" s="33">
        <v>500</v>
      </c>
      <c r="Q60" s="34" t="s">
        <v>61</v>
      </c>
      <c r="R60" s="32" t="s">
        <v>38</v>
      </c>
    </row>
    <row r="61" spans="2:18" x14ac:dyDescent="0.25">
      <c r="B61" s="51">
        <v>3</v>
      </c>
      <c r="C61" s="52">
        <v>45802</v>
      </c>
      <c r="D61" s="51" t="s">
        <v>39</v>
      </c>
      <c r="E61" s="51">
        <v>10</v>
      </c>
      <c r="F61" s="51" t="s">
        <v>41</v>
      </c>
      <c r="G61" s="53">
        <v>28</v>
      </c>
      <c r="H61" s="54">
        <f t="shared" si="8"/>
        <v>280</v>
      </c>
      <c r="I61" s="48"/>
      <c r="J61" s="17"/>
      <c r="K61" s="17"/>
      <c r="L61" s="17"/>
      <c r="M61" s="16">
        <f t="shared" si="9"/>
        <v>0</v>
      </c>
      <c r="N61" s="31" t="s">
        <v>54</v>
      </c>
      <c r="O61" s="32" t="s">
        <v>16</v>
      </c>
      <c r="P61" s="33">
        <v>420</v>
      </c>
      <c r="Q61" s="34" t="s">
        <v>61</v>
      </c>
      <c r="R61" s="32" t="s">
        <v>38</v>
      </c>
    </row>
    <row r="62" spans="2:18" x14ac:dyDescent="0.25">
      <c r="B62" s="51">
        <v>3</v>
      </c>
      <c r="C62" s="52">
        <v>45803</v>
      </c>
      <c r="D62" s="51" t="s">
        <v>55</v>
      </c>
      <c r="E62" s="51">
        <v>20</v>
      </c>
      <c r="F62" s="51" t="s">
        <v>41</v>
      </c>
      <c r="G62" s="53">
        <v>28</v>
      </c>
      <c r="H62" s="54">
        <f t="shared" si="8"/>
        <v>560</v>
      </c>
      <c r="I62" s="48"/>
      <c r="J62" s="17"/>
      <c r="K62" s="17"/>
      <c r="L62" s="17"/>
      <c r="M62" s="16">
        <f t="shared" si="9"/>
        <v>0</v>
      </c>
      <c r="N62" s="31" t="s">
        <v>26</v>
      </c>
      <c r="O62" s="32" t="s">
        <v>16</v>
      </c>
      <c r="P62" s="33">
        <v>400</v>
      </c>
      <c r="Q62" s="34" t="s">
        <v>61</v>
      </c>
      <c r="R62" s="35" t="s">
        <v>38</v>
      </c>
    </row>
    <row r="63" spans="2:18" x14ac:dyDescent="0.25">
      <c r="B63" s="51">
        <v>3</v>
      </c>
      <c r="C63" s="52">
        <v>45804</v>
      </c>
      <c r="D63" s="51" t="s">
        <v>56</v>
      </c>
      <c r="E63" s="51">
        <v>1</v>
      </c>
      <c r="F63" s="51" t="s">
        <v>41</v>
      </c>
      <c r="G63" s="53">
        <v>28</v>
      </c>
      <c r="H63" s="54">
        <f t="shared" si="8"/>
        <v>28</v>
      </c>
      <c r="I63" s="48"/>
      <c r="J63" s="17"/>
      <c r="K63" s="17"/>
      <c r="L63" s="17"/>
      <c r="M63" s="16">
        <f t="shared" si="9"/>
        <v>0</v>
      </c>
      <c r="N63" s="31" t="s">
        <v>27</v>
      </c>
      <c r="O63" s="32" t="s">
        <v>16</v>
      </c>
      <c r="P63" s="33">
        <v>200</v>
      </c>
      <c r="Q63" s="34" t="s">
        <v>61</v>
      </c>
      <c r="R63" s="35" t="s">
        <v>38</v>
      </c>
    </row>
    <row r="64" spans="2:18" x14ac:dyDescent="0.25">
      <c r="B64" s="51">
        <v>3</v>
      </c>
      <c r="C64" s="52">
        <v>45805</v>
      </c>
      <c r="D64" s="51" t="s">
        <v>39</v>
      </c>
      <c r="E64" s="51">
        <v>6</v>
      </c>
      <c r="F64" s="51" t="s">
        <v>41</v>
      </c>
      <c r="G64" s="53">
        <v>28</v>
      </c>
      <c r="H64" s="54">
        <f t="shared" si="8"/>
        <v>168</v>
      </c>
      <c r="I64" s="48"/>
      <c r="J64" s="17"/>
      <c r="K64" s="17"/>
      <c r="L64" s="17"/>
      <c r="M64" s="16">
        <f t="shared" si="9"/>
        <v>0</v>
      </c>
      <c r="N64" s="31" t="s">
        <v>58</v>
      </c>
      <c r="O64" s="32" t="s">
        <v>16</v>
      </c>
      <c r="P64" s="33">
        <v>720</v>
      </c>
      <c r="Q64" s="34" t="s">
        <v>61</v>
      </c>
      <c r="R64" s="35" t="s">
        <v>38</v>
      </c>
    </row>
    <row r="65" spans="2:18" x14ac:dyDescent="0.25">
      <c r="B65" s="51">
        <v>3</v>
      </c>
      <c r="C65" s="52">
        <v>45806</v>
      </c>
      <c r="D65" s="51" t="s">
        <v>39</v>
      </c>
      <c r="E65" s="51">
        <v>3</v>
      </c>
      <c r="F65" s="51" t="s">
        <v>41</v>
      </c>
      <c r="G65" s="53">
        <v>28</v>
      </c>
      <c r="H65" s="54">
        <f t="shared" si="8"/>
        <v>84</v>
      </c>
      <c r="I65" s="49"/>
      <c r="J65" s="18"/>
      <c r="K65" s="18"/>
      <c r="L65" s="18"/>
      <c r="M65" s="16">
        <f t="shared" si="9"/>
        <v>0</v>
      </c>
      <c r="N65" s="32" t="s">
        <v>84</v>
      </c>
      <c r="O65" s="32" t="s">
        <v>44</v>
      </c>
      <c r="P65" s="33">
        <v>200</v>
      </c>
      <c r="Q65" s="34" t="s">
        <v>61</v>
      </c>
      <c r="R65" s="35" t="s">
        <v>38</v>
      </c>
    </row>
    <row r="66" spans="2:18" x14ac:dyDescent="0.25">
      <c r="B66" s="51">
        <v>3</v>
      </c>
      <c r="C66" s="52">
        <v>45807</v>
      </c>
      <c r="D66" s="51" t="s">
        <v>55</v>
      </c>
      <c r="E66" s="51">
        <v>6</v>
      </c>
      <c r="F66" s="51" t="s">
        <v>41</v>
      </c>
      <c r="G66" s="53">
        <v>28</v>
      </c>
      <c r="H66" s="54">
        <f t="shared" si="8"/>
        <v>168</v>
      </c>
      <c r="I66" s="49"/>
      <c r="J66" s="18"/>
      <c r="K66" s="18"/>
      <c r="L66" s="18"/>
      <c r="M66" s="16">
        <f t="shared" si="9"/>
        <v>0</v>
      </c>
      <c r="N66" s="32" t="s">
        <v>79</v>
      </c>
      <c r="O66" s="32" t="s">
        <v>16</v>
      </c>
      <c r="P66" s="33">
        <v>350</v>
      </c>
      <c r="Q66" s="34" t="s">
        <v>8</v>
      </c>
      <c r="R66" s="35" t="s">
        <v>38</v>
      </c>
    </row>
    <row r="67" spans="2:18" x14ac:dyDescent="0.25">
      <c r="B67" s="51">
        <v>3</v>
      </c>
      <c r="C67" s="52">
        <v>45808</v>
      </c>
      <c r="D67" s="51" t="s">
        <v>56</v>
      </c>
      <c r="E67" s="51">
        <v>6</v>
      </c>
      <c r="F67" s="51" t="s">
        <v>41</v>
      </c>
      <c r="G67" s="53">
        <v>28</v>
      </c>
      <c r="H67" s="54">
        <f t="shared" si="8"/>
        <v>168</v>
      </c>
      <c r="I67" s="49"/>
      <c r="J67" s="18"/>
      <c r="K67" s="18"/>
      <c r="L67" s="18"/>
      <c r="M67" s="16">
        <f t="shared" si="9"/>
        <v>0</v>
      </c>
      <c r="N67" s="32" t="s">
        <v>52</v>
      </c>
      <c r="O67" s="32" t="s">
        <v>16</v>
      </c>
      <c r="P67" s="33">
        <v>400</v>
      </c>
      <c r="Q67" s="34" t="s">
        <v>8</v>
      </c>
      <c r="R67" s="35" t="s">
        <v>38</v>
      </c>
    </row>
    <row r="68" spans="2:18" x14ac:dyDescent="0.25">
      <c r="B68" s="51">
        <v>3</v>
      </c>
      <c r="C68" s="52">
        <v>45809</v>
      </c>
      <c r="D68" s="51" t="s">
        <v>39</v>
      </c>
      <c r="E68" s="51">
        <v>3</v>
      </c>
      <c r="F68" s="51" t="s">
        <v>41</v>
      </c>
      <c r="G68" s="53">
        <v>28</v>
      </c>
      <c r="H68" s="54">
        <f t="shared" si="8"/>
        <v>84</v>
      </c>
      <c r="I68" s="49"/>
      <c r="J68" s="18"/>
      <c r="K68" s="18"/>
      <c r="L68" s="18"/>
      <c r="M68" s="16">
        <f t="shared" si="9"/>
        <v>0</v>
      </c>
      <c r="N68" s="32"/>
      <c r="O68" s="32"/>
      <c r="P68" s="33"/>
      <c r="Q68" s="34"/>
      <c r="R68" s="35"/>
    </row>
    <row r="69" spans="2:18" x14ac:dyDescent="0.25">
      <c r="B69" s="51">
        <v>3</v>
      </c>
      <c r="C69" s="52">
        <v>45809</v>
      </c>
      <c r="D69" s="51" t="s">
        <v>39</v>
      </c>
      <c r="E69" s="51">
        <v>2</v>
      </c>
      <c r="F69" s="51" t="s">
        <v>40</v>
      </c>
      <c r="G69" s="53">
        <v>28</v>
      </c>
      <c r="H69" s="54">
        <f>E69*G69</f>
        <v>56</v>
      </c>
      <c r="I69" s="47">
        <v>25</v>
      </c>
      <c r="J69" s="16">
        <v>1.5</v>
      </c>
      <c r="K69" s="16">
        <v>0.25</v>
      </c>
      <c r="L69" s="16">
        <v>1</v>
      </c>
      <c r="M69" s="16">
        <f>SUM(I69:L69)</f>
        <v>27.75</v>
      </c>
      <c r="N69" s="31" t="s">
        <v>50</v>
      </c>
      <c r="O69" s="32" t="s">
        <v>16</v>
      </c>
      <c r="P69" s="33">
        <v>100</v>
      </c>
      <c r="Q69" s="34" t="s">
        <v>61</v>
      </c>
      <c r="R69" s="32" t="s">
        <v>38</v>
      </c>
    </row>
    <row r="70" spans="2:18" x14ac:dyDescent="0.25">
      <c r="B70" s="51">
        <v>3</v>
      </c>
      <c r="C70" s="52">
        <v>45810</v>
      </c>
      <c r="D70" s="51" t="s">
        <v>46</v>
      </c>
      <c r="E70" s="51">
        <v>4</v>
      </c>
      <c r="F70" s="51" t="s">
        <v>41</v>
      </c>
      <c r="G70" s="53">
        <v>28</v>
      </c>
      <c r="H70" s="54">
        <f t="shared" ref="H70:H81" si="10">E70*G70</f>
        <v>112</v>
      </c>
      <c r="I70" s="47"/>
      <c r="J70" s="16"/>
      <c r="K70" s="16"/>
      <c r="L70" s="16"/>
      <c r="M70" s="16">
        <f t="shared" ref="M70:M81" si="11">SUM(I70:L70)</f>
        <v>0</v>
      </c>
      <c r="N70" s="31" t="s">
        <v>51</v>
      </c>
      <c r="O70" s="32" t="s">
        <v>16</v>
      </c>
      <c r="P70" s="33">
        <v>150</v>
      </c>
      <c r="Q70" s="34" t="s">
        <v>61</v>
      </c>
      <c r="R70" s="32" t="s">
        <v>38</v>
      </c>
    </row>
    <row r="71" spans="2:18" x14ac:dyDescent="0.25">
      <c r="B71" s="51">
        <v>3</v>
      </c>
      <c r="C71" s="52">
        <v>45811</v>
      </c>
      <c r="D71" s="51" t="s">
        <v>46</v>
      </c>
      <c r="E71" s="51">
        <v>5</v>
      </c>
      <c r="F71" s="51" t="s">
        <v>41</v>
      </c>
      <c r="G71" s="53">
        <v>28</v>
      </c>
      <c r="H71" s="54">
        <f t="shared" si="10"/>
        <v>140</v>
      </c>
      <c r="I71" s="47"/>
      <c r="J71" s="16"/>
      <c r="K71" s="16"/>
      <c r="L71" s="16"/>
      <c r="M71" s="16">
        <f t="shared" si="11"/>
        <v>0</v>
      </c>
      <c r="N71" s="31" t="s">
        <v>80</v>
      </c>
      <c r="O71" s="32" t="s">
        <v>44</v>
      </c>
      <c r="P71" s="33">
        <v>200</v>
      </c>
      <c r="Q71" s="34" t="s">
        <v>8</v>
      </c>
      <c r="R71" s="32" t="s">
        <v>38</v>
      </c>
    </row>
    <row r="72" spans="2:18" x14ac:dyDescent="0.25">
      <c r="B72" s="51">
        <v>3</v>
      </c>
      <c r="C72" s="52">
        <v>45812</v>
      </c>
      <c r="D72" s="51" t="s">
        <v>47</v>
      </c>
      <c r="E72" s="51">
        <v>7</v>
      </c>
      <c r="F72" s="51" t="s">
        <v>41</v>
      </c>
      <c r="G72" s="53">
        <v>28</v>
      </c>
      <c r="H72" s="54">
        <f t="shared" si="10"/>
        <v>196</v>
      </c>
      <c r="I72" s="47"/>
      <c r="J72" s="16"/>
      <c r="K72" s="16"/>
      <c r="L72" s="16"/>
      <c r="M72" s="16">
        <f t="shared" si="11"/>
        <v>0</v>
      </c>
      <c r="N72" s="31" t="s">
        <v>52</v>
      </c>
      <c r="O72" s="32" t="s">
        <v>16</v>
      </c>
      <c r="P72" s="33">
        <v>300</v>
      </c>
      <c r="Q72" s="34" t="s">
        <v>61</v>
      </c>
      <c r="R72" s="32" t="s">
        <v>38</v>
      </c>
    </row>
    <row r="73" spans="2:18" x14ac:dyDescent="0.25">
      <c r="B73" s="51">
        <v>3</v>
      </c>
      <c r="C73" s="52">
        <v>45813</v>
      </c>
      <c r="D73" s="51" t="s">
        <v>47</v>
      </c>
      <c r="E73" s="51">
        <v>9</v>
      </c>
      <c r="F73" s="51" t="s">
        <v>41</v>
      </c>
      <c r="G73" s="53">
        <v>28</v>
      </c>
      <c r="H73" s="54">
        <f t="shared" si="10"/>
        <v>252</v>
      </c>
      <c r="I73" s="47">
        <v>10</v>
      </c>
      <c r="J73" s="16">
        <v>1.5</v>
      </c>
      <c r="K73" s="16">
        <v>0.25</v>
      </c>
      <c r="L73" s="16">
        <v>1</v>
      </c>
      <c r="M73" s="16">
        <f t="shared" si="11"/>
        <v>12.75</v>
      </c>
      <c r="N73" s="31" t="s">
        <v>53</v>
      </c>
      <c r="O73" s="32" t="s">
        <v>16</v>
      </c>
      <c r="P73" s="33">
        <v>1000</v>
      </c>
      <c r="Q73" s="34" t="s">
        <v>61</v>
      </c>
      <c r="R73" s="32" t="s">
        <v>38</v>
      </c>
    </row>
    <row r="74" spans="2:18" x14ac:dyDescent="0.25">
      <c r="B74" s="51">
        <v>3</v>
      </c>
      <c r="C74" s="52">
        <v>45814</v>
      </c>
      <c r="D74" s="51" t="s">
        <v>39</v>
      </c>
      <c r="E74" s="51">
        <v>6</v>
      </c>
      <c r="F74" s="51" t="s">
        <v>41</v>
      </c>
      <c r="G74" s="53">
        <v>28</v>
      </c>
      <c r="H74" s="54">
        <f t="shared" si="10"/>
        <v>168</v>
      </c>
      <c r="I74" s="48"/>
      <c r="J74" s="17"/>
      <c r="K74" s="17"/>
      <c r="L74" s="17"/>
      <c r="M74" s="16">
        <f t="shared" si="11"/>
        <v>0</v>
      </c>
      <c r="N74" s="31" t="s">
        <v>54</v>
      </c>
      <c r="O74" s="32" t="s">
        <v>16</v>
      </c>
      <c r="P74" s="33">
        <v>950</v>
      </c>
      <c r="Q74" s="34" t="s">
        <v>61</v>
      </c>
      <c r="R74" s="32" t="s">
        <v>38</v>
      </c>
    </row>
    <row r="75" spans="2:18" x14ac:dyDescent="0.25">
      <c r="B75" s="51">
        <v>3</v>
      </c>
      <c r="C75" s="52">
        <v>45815</v>
      </c>
      <c r="D75" s="51" t="s">
        <v>55</v>
      </c>
      <c r="E75" s="51">
        <v>15</v>
      </c>
      <c r="F75" s="51" t="s">
        <v>41</v>
      </c>
      <c r="G75" s="53">
        <v>28</v>
      </c>
      <c r="H75" s="54">
        <f t="shared" si="10"/>
        <v>420</v>
      </c>
      <c r="I75" s="48"/>
      <c r="J75" s="17"/>
      <c r="K75" s="17"/>
      <c r="L75" s="17"/>
      <c r="M75" s="16">
        <f t="shared" si="11"/>
        <v>0</v>
      </c>
      <c r="N75" s="31" t="s">
        <v>26</v>
      </c>
      <c r="O75" s="32" t="s">
        <v>16</v>
      </c>
      <c r="P75" s="33">
        <v>800</v>
      </c>
      <c r="Q75" s="34" t="s">
        <v>61</v>
      </c>
      <c r="R75" s="35" t="s">
        <v>38</v>
      </c>
    </row>
    <row r="76" spans="2:18" x14ac:dyDescent="0.25">
      <c r="B76" s="51">
        <v>3</v>
      </c>
      <c r="C76" s="52">
        <v>45816</v>
      </c>
      <c r="D76" s="51" t="s">
        <v>56</v>
      </c>
      <c r="E76" s="51">
        <v>3</v>
      </c>
      <c r="F76" s="51" t="s">
        <v>41</v>
      </c>
      <c r="G76" s="53">
        <v>28</v>
      </c>
      <c r="H76" s="54">
        <f t="shared" si="10"/>
        <v>84</v>
      </c>
      <c r="I76" s="48"/>
      <c r="J76" s="17"/>
      <c r="K76" s="17"/>
      <c r="L76" s="17"/>
      <c r="M76" s="16">
        <f t="shared" si="11"/>
        <v>0</v>
      </c>
      <c r="N76" s="31" t="s">
        <v>27</v>
      </c>
      <c r="O76" s="32" t="s">
        <v>16</v>
      </c>
      <c r="P76" s="33">
        <v>700</v>
      </c>
      <c r="Q76" s="34" t="s">
        <v>61</v>
      </c>
      <c r="R76" s="35" t="s">
        <v>38</v>
      </c>
    </row>
    <row r="77" spans="2:18" x14ac:dyDescent="0.25">
      <c r="B77" s="51">
        <v>3</v>
      </c>
      <c r="C77" s="52">
        <v>45817</v>
      </c>
      <c r="D77" s="51" t="s">
        <v>39</v>
      </c>
      <c r="E77" s="51">
        <v>4.5</v>
      </c>
      <c r="F77" s="51" t="s">
        <v>41</v>
      </c>
      <c r="G77" s="53">
        <v>28</v>
      </c>
      <c r="H77" s="54">
        <f t="shared" si="10"/>
        <v>126</v>
      </c>
      <c r="I77" s="48">
        <v>50</v>
      </c>
      <c r="J77" s="17">
        <v>10</v>
      </c>
      <c r="K77" s="17">
        <v>60</v>
      </c>
      <c r="L77" s="17">
        <v>0</v>
      </c>
      <c r="M77" s="16">
        <f t="shared" si="11"/>
        <v>120</v>
      </c>
      <c r="N77" s="31" t="s">
        <v>58</v>
      </c>
      <c r="O77" s="32" t="s">
        <v>16</v>
      </c>
      <c r="P77" s="33">
        <v>600</v>
      </c>
      <c r="Q77" s="34" t="s">
        <v>61</v>
      </c>
      <c r="R77" s="35" t="s">
        <v>38</v>
      </c>
    </row>
    <row r="78" spans="2:18" x14ac:dyDescent="0.25">
      <c r="B78" s="51">
        <v>3</v>
      </c>
      <c r="C78" s="52">
        <v>45818</v>
      </c>
      <c r="D78" s="51" t="s">
        <v>39</v>
      </c>
      <c r="E78" s="51">
        <v>3</v>
      </c>
      <c r="F78" s="51" t="s">
        <v>41</v>
      </c>
      <c r="G78" s="53">
        <v>28</v>
      </c>
      <c r="H78" s="54">
        <f t="shared" si="10"/>
        <v>84</v>
      </c>
      <c r="I78" s="49"/>
      <c r="J78" s="18"/>
      <c r="K78" s="18"/>
      <c r="L78" s="18"/>
      <c r="M78" s="16">
        <f t="shared" si="11"/>
        <v>0</v>
      </c>
      <c r="N78" s="32" t="s">
        <v>84</v>
      </c>
      <c r="O78" s="32" t="s">
        <v>44</v>
      </c>
      <c r="P78" s="33">
        <v>350</v>
      </c>
      <c r="Q78" s="34" t="s">
        <v>61</v>
      </c>
      <c r="R78" s="35" t="s">
        <v>38</v>
      </c>
    </row>
    <row r="79" spans="2:18" x14ac:dyDescent="0.25">
      <c r="B79" s="51">
        <v>3</v>
      </c>
      <c r="C79" s="52">
        <v>45819</v>
      </c>
      <c r="D79" s="51" t="s">
        <v>55</v>
      </c>
      <c r="E79" s="51">
        <v>6</v>
      </c>
      <c r="F79" s="51" t="s">
        <v>41</v>
      </c>
      <c r="G79" s="53">
        <v>28</v>
      </c>
      <c r="H79" s="54">
        <f t="shared" si="10"/>
        <v>168</v>
      </c>
      <c r="I79" s="49"/>
      <c r="J79" s="18"/>
      <c r="K79" s="18"/>
      <c r="L79" s="18"/>
      <c r="M79" s="16">
        <f t="shared" si="11"/>
        <v>0</v>
      </c>
      <c r="N79" s="32" t="s">
        <v>79</v>
      </c>
      <c r="O79" s="32" t="s">
        <v>16</v>
      </c>
      <c r="P79" s="33">
        <v>400</v>
      </c>
      <c r="Q79" s="34" t="s">
        <v>8</v>
      </c>
      <c r="R79" s="35" t="s">
        <v>38</v>
      </c>
    </row>
    <row r="80" spans="2:18" x14ac:dyDescent="0.25">
      <c r="B80" s="51">
        <v>3</v>
      </c>
      <c r="C80" s="52">
        <v>45820</v>
      </c>
      <c r="D80" s="51" t="s">
        <v>56</v>
      </c>
      <c r="E80" s="51">
        <v>4</v>
      </c>
      <c r="F80" s="51" t="s">
        <v>41</v>
      </c>
      <c r="G80" s="53">
        <v>28</v>
      </c>
      <c r="H80" s="54">
        <f t="shared" si="10"/>
        <v>112</v>
      </c>
      <c r="I80" s="49"/>
      <c r="J80" s="18"/>
      <c r="K80" s="18"/>
      <c r="L80" s="18"/>
      <c r="M80" s="16">
        <f t="shared" si="11"/>
        <v>0</v>
      </c>
      <c r="N80" s="32" t="s">
        <v>52</v>
      </c>
      <c r="O80" s="32" t="s">
        <v>16</v>
      </c>
      <c r="P80" s="33">
        <v>500</v>
      </c>
      <c r="Q80" s="34" t="s">
        <v>8</v>
      </c>
      <c r="R80" s="35" t="s">
        <v>38</v>
      </c>
    </row>
    <row r="81" spans="2:18" x14ac:dyDescent="0.25">
      <c r="B81" s="51">
        <v>3</v>
      </c>
      <c r="C81" s="52">
        <v>45821</v>
      </c>
      <c r="D81" s="51" t="s">
        <v>39</v>
      </c>
      <c r="E81" s="51">
        <v>3</v>
      </c>
      <c r="F81" s="51" t="s">
        <v>41</v>
      </c>
      <c r="G81" s="53">
        <v>28</v>
      </c>
      <c r="H81" s="54">
        <f t="shared" si="10"/>
        <v>84</v>
      </c>
      <c r="I81" s="49"/>
      <c r="J81" s="18"/>
      <c r="K81" s="18"/>
      <c r="L81" s="18"/>
      <c r="M81" s="16">
        <f t="shared" si="11"/>
        <v>0</v>
      </c>
      <c r="N81" s="32"/>
      <c r="O81" s="32"/>
      <c r="P81" s="33"/>
      <c r="Q81" s="34"/>
      <c r="R81" s="35"/>
    </row>
    <row r="82" spans="2:18" x14ac:dyDescent="0.25">
      <c r="B82" s="51">
        <v>3</v>
      </c>
      <c r="C82" s="52">
        <v>45839</v>
      </c>
      <c r="D82" s="51" t="s">
        <v>39</v>
      </c>
      <c r="E82" s="51">
        <v>7</v>
      </c>
      <c r="F82" s="51" t="s">
        <v>40</v>
      </c>
      <c r="G82" s="53">
        <v>28</v>
      </c>
      <c r="H82" s="54">
        <f>E82*G82</f>
        <v>196</v>
      </c>
      <c r="I82" s="47"/>
      <c r="J82" s="16"/>
      <c r="K82" s="16"/>
      <c r="L82" s="16"/>
      <c r="M82" s="16">
        <f>SUM(I82:L82)</f>
        <v>0</v>
      </c>
      <c r="N82" s="31" t="s">
        <v>50</v>
      </c>
      <c r="O82" s="32" t="s">
        <v>16</v>
      </c>
      <c r="P82" s="33">
        <v>1000</v>
      </c>
      <c r="Q82" s="34" t="s">
        <v>61</v>
      </c>
      <c r="R82" s="32" t="s">
        <v>38</v>
      </c>
    </row>
    <row r="83" spans="2:18" x14ac:dyDescent="0.25">
      <c r="B83" s="51">
        <v>3</v>
      </c>
      <c r="C83" s="52">
        <v>45840</v>
      </c>
      <c r="D83" s="51" t="s">
        <v>46</v>
      </c>
      <c r="E83" s="51">
        <v>7</v>
      </c>
      <c r="F83" s="51" t="s">
        <v>41</v>
      </c>
      <c r="G83" s="53">
        <v>28</v>
      </c>
      <c r="H83" s="54">
        <f t="shared" ref="H83:H94" si="12">E83*G83</f>
        <v>196</v>
      </c>
      <c r="I83" s="47"/>
      <c r="J83" s="16"/>
      <c r="K83" s="16"/>
      <c r="L83" s="16"/>
      <c r="M83" s="16">
        <f t="shared" ref="M83:M94" si="13">SUM(I83:L83)</f>
        <v>0</v>
      </c>
      <c r="N83" s="31" t="s">
        <v>51</v>
      </c>
      <c r="O83" s="32" t="s">
        <v>16</v>
      </c>
      <c r="P83" s="33">
        <v>2000</v>
      </c>
      <c r="Q83" s="34" t="s">
        <v>61</v>
      </c>
      <c r="R83" s="32" t="s">
        <v>38</v>
      </c>
    </row>
    <row r="84" spans="2:18" x14ac:dyDescent="0.25">
      <c r="B84" s="51">
        <v>3</v>
      </c>
      <c r="C84" s="52">
        <v>45841</v>
      </c>
      <c r="D84" s="51" t="s">
        <v>46</v>
      </c>
      <c r="E84" s="51">
        <v>7</v>
      </c>
      <c r="F84" s="51" t="s">
        <v>41</v>
      </c>
      <c r="G84" s="53">
        <v>28</v>
      </c>
      <c r="H84" s="54">
        <f t="shared" si="12"/>
        <v>196</v>
      </c>
      <c r="I84" s="47"/>
      <c r="J84" s="16"/>
      <c r="K84" s="16"/>
      <c r="L84" s="16"/>
      <c r="M84" s="16">
        <f t="shared" si="13"/>
        <v>0</v>
      </c>
      <c r="N84" s="31" t="s">
        <v>80</v>
      </c>
      <c r="O84" s="32" t="s">
        <v>44</v>
      </c>
      <c r="P84" s="33">
        <v>700</v>
      </c>
      <c r="Q84" s="34" t="s">
        <v>8</v>
      </c>
      <c r="R84" s="32" t="s">
        <v>38</v>
      </c>
    </row>
    <row r="85" spans="2:18" x14ac:dyDescent="0.25">
      <c r="B85" s="51">
        <v>3</v>
      </c>
      <c r="C85" s="52">
        <v>45842</v>
      </c>
      <c r="D85" s="51" t="s">
        <v>47</v>
      </c>
      <c r="E85" s="51">
        <v>8</v>
      </c>
      <c r="F85" s="51" t="s">
        <v>41</v>
      </c>
      <c r="G85" s="53">
        <v>28</v>
      </c>
      <c r="H85" s="54">
        <f t="shared" si="12"/>
        <v>224</v>
      </c>
      <c r="I85" s="47"/>
      <c r="J85" s="16"/>
      <c r="K85" s="16"/>
      <c r="L85" s="16"/>
      <c r="M85" s="16">
        <f t="shared" si="13"/>
        <v>0</v>
      </c>
      <c r="N85" s="31" t="s">
        <v>52</v>
      </c>
      <c r="O85" s="32" t="s">
        <v>16</v>
      </c>
      <c r="P85" s="33">
        <v>250</v>
      </c>
      <c r="Q85" s="34" t="s">
        <v>61</v>
      </c>
      <c r="R85" s="32" t="s">
        <v>38</v>
      </c>
    </row>
    <row r="86" spans="2:18" x14ac:dyDescent="0.25">
      <c r="B86" s="51">
        <v>3</v>
      </c>
      <c r="C86" s="52">
        <v>45843</v>
      </c>
      <c r="D86" s="51" t="s">
        <v>47</v>
      </c>
      <c r="E86" s="51">
        <v>9</v>
      </c>
      <c r="F86" s="51" t="s">
        <v>41</v>
      </c>
      <c r="G86" s="53">
        <v>28</v>
      </c>
      <c r="H86" s="54">
        <f t="shared" si="12"/>
        <v>252</v>
      </c>
      <c r="I86" s="47"/>
      <c r="J86" s="16"/>
      <c r="K86" s="16"/>
      <c r="L86" s="16"/>
      <c r="M86" s="16">
        <f t="shared" si="13"/>
        <v>0</v>
      </c>
      <c r="N86" s="31" t="s">
        <v>53</v>
      </c>
      <c r="O86" s="32" t="s">
        <v>16</v>
      </c>
      <c r="P86" s="33">
        <v>250</v>
      </c>
      <c r="Q86" s="34" t="s">
        <v>61</v>
      </c>
      <c r="R86" s="32" t="s">
        <v>38</v>
      </c>
    </row>
    <row r="87" spans="2:18" x14ac:dyDescent="0.25">
      <c r="B87" s="51">
        <v>3</v>
      </c>
      <c r="C87" s="52">
        <v>45844</v>
      </c>
      <c r="D87" s="51" t="s">
        <v>39</v>
      </c>
      <c r="E87" s="51">
        <v>5</v>
      </c>
      <c r="F87" s="51" t="s">
        <v>41</v>
      </c>
      <c r="G87" s="53">
        <v>28</v>
      </c>
      <c r="H87" s="54">
        <f t="shared" si="12"/>
        <v>140</v>
      </c>
      <c r="I87" s="48"/>
      <c r="J87" s="17"/>
      <c r="K87" s="17"/>
      <c r="L87" s="17"/>
      <c r="M87" s="16">
        <f t="shared" si="13"/>
        <v>0</v>
      </c>
      <c r="N87" s="31" t="s">
        <v>54</v>
      </c>
      <c r="O87" s="32" t="s">
        <v>16</v>
      </c>
      <c r="P87" s="33">
        <v>99</v>
      </c>
      <c r="Q87" s="34" t="s">
        <v>61</v>
      </c>
      <c r="R87" s="32" t="s">
        <v>38</v>
      </c>
    </row>
    <row r="88" spans="2:18" x14ac:dyDescent="0.25">
      <c r="B88" s="51">
        <v>3</v>
      </c>
      <c r="C88" s="52">
        <v>45845</v>
      </c>
      <c r="D88" s="51" t="s">
        <v>55</v>
      </c>
      <c r="E88" s="51">
        <v>4</v>
      </c>
      <c r="F88" s="51" t="s">
        <v>41</v>
      </c>
      <c r="G88" s="53">
        <v>28</v>
      </c>
      <c r="H88" s="54">
        <f t="shared" si="12"/>
        <v>112</v>
      </c>
      <c r="I88" s="48"/>
      <c r="J88" s="17"/>
      <c r="K88" s="17"/>
      <c r="L88" s="17"/>
      <c r="M88" s="16">
        <f t="shared" si="13"/>
        <v>0</v>
      </c>
      <c r="N88" s="31" t="s">
        <v>26</v>
      </c>
      <c r="O88" s="32" t="s">
        <v>16</v>
      </c>
      <c r="P88" s="33">
        <v>190</v>
      </c>
      <c r="Q88" s="34" t="s">
        <v>61</v>
      </c>
      <c r="R88" s="35" t="s">
        <v>38</v>
      </c>
    </row>
    <row r="89" spans="2:18" x14ac:dyDescent="0.25">
      <c r="B89" s="51">
        <v>3</v>
      </c>
      <c r="C89" s="52">
        <v>45846</v>
      </c>
      <c r="D89" s="51" t="s">
        <v>56</v>
      </c>
      <c r="E89" s="51">
        <v>5</v>
      </c>
      <c r="F89" s="51" t="s">
        <v>41</v>
      </c>
      <c r="G89" s="53">
        <v>28</v>
      </c>
      <c r="H89" s="54">
        <f t="shared" si="12"/>
        <v>140</v>
      </c>
      <c r="I89" s="48"/>
      <c r="J89" s="17"/>
      <c r="K89" s="17"/>
      <c r="L89" s="17"/>
      <c r="M89" s="16">
        <f t="shared" si="13"/>
        <v>0</v>
      </c>
      <c r="N89" s="31" t="s">
        <v>27</v>
      </c>
      <c r="O89" s="32" t="s">
        <v>16</v>
      </c>
      <c r="P89" s="33">
        <v>600</v>
      </c>
      <c r="Q89" s="34" t="s">
        <v>61</v>
      </c>
      <c r="R89" s="35" t="s">
        <v>38</v>
      </c>
    </row>
    <row r="90" spans="2:18" x14ac:dyDescent="0.25">
      <c r="B90" s="51">
        <v>3</v>
      </c>
      <c r="C90" s="52">
        <v>45847</v>
      </c>
      <c r="D90" s="51" t="s">
        <v>39</v>
      </c>
      <c r="E90" s="51">
        <v>7</v>
      </c>
      <c r="F90" s="51" t="s">
        <v>41</v>
      </c>
      <c r="G90" s="53">
        <v>28</v>
      </c>
      <c r="H90" s="54">
        <f t="shared" si="12"/>
        <v>196</v>
      </c>
      <c r="I90" s="48">
        <v>50</v>
      </c>
      <c r="J90" s="17">
        <v>10</v>
      </c>
      <c r="K90" s="17">
        <v>60</v>
      </c>
      <c r="L90" s="17">
        <v>0</v>
      </c>
      <c r="M90" s="16">
        <f t="shared" si="13"/>
        <v>120</v>
      </c>
      <c r="N90" s="31" t="s">
        <v>58</v>
      </c>
      <c r="O90" s="32" t="s">
        <v>16</v>
      </c>
      <c r="P90" s="33">
        <v>752</v>
      </c>
      <c r="Q90" s="34" t="s">
        <v>61</v>
      </c>
      <c r="R90" s="35" t="s">
        <v>38</v>
      </c>
    </row>
    <row r="91" spans="2:18" x14ac:dyDescent="0.25">
      <c r="B91" s="51">
        <v>3</v>
      </c>
      <c r="C91" s="52">
        <v>45848</v>
      </c>
      <c r="D91" s="51" t="s">
        <v>39</v>
      </c>
      <c r="E91" s="51">
        <v>36</v>
      </c>
      <c r="F91" s="51" t="s">
        <v>41</v>
      </c>
      <c r="G91" s="53">
        <v>28</v>
      </c>
      <c r="H91" s="54">
        <f t="shared" si="12"/>
        <v>1008</v>
      </c>
      <c r="I91" s="49"/>
      <c r="J91" s="18"/>
      <c r="K91" s="18"/>
      <c r="L91" s="18"/>
      <c r="M91" s="16">
        <f t="shared" si="13"/>
        <v>0</v>
      </c>
      <c r="N91" s="32" t="s">
        <v>84</v>
      </c>
      <c r="O91" s="32" t="s">
        <v>44</v>
      </c>
      <c r="P91" s="33">
        <v>185</v>
      </c>
      <c r="Q91" s="34" t="s">
        <v>61</v>
      </c>
      <c r="R91" s="35" t="s">
        <v>38</v>
      </c>
    </row>
    <row r="92" spans="2:18" x14ac:dyDescent="0.25">
      <c r="B92" s="51">
        <v>3</v>
      </c>
      <c r="C92" s="52">
        <v>45849</v>
      </c>
      <c r="D92" s="51" t="s">
        <v>55</v>
      </c>
      <c r="E92" s="51">
        <v>5</v>
      </c>
      <c r="F92" s="51" t="s">
        <v>41</v>
      </c>
      <c r="G92" s="53">
        <v>28</v>
      </c>
      <c r="H92" s="54">
        <f t="shared" si="12"/>
        <v>140</v>
      </c>
      <c r="I92" s="49"/>
      <c r="J92" s="18"/>
      <c r="K92" s="18"/>
      <c r="L92" s="18"/>
      <c r="M92" s="16">
        <f t="shared" si="13"/>
        <v>0</v>
      </c>
      <c r="N92" s="32" t="s">
        <v>79</v>
      </c>
      <c r="O92" s="32" t="s">
        <v>16</v>
      </c>
      <c r="P92" s="33">
        <v>1523</v>
      </c>
      <c r="Q92" s="34" t="s">
        <v>8</v>
      </c>
      <c r="R92" s="35" t="s">
        <v>38</v>
      </c>
    </row>
    <row r="93" spans="2:18" x14ac:dyDescent="0.25">
      <c r="B93" s="51">
        <v>3</v>
      </c>
      <c r="C93" s="52">
        <v>45850</v>
      </c>
      <c r="D93" s="51" t="s">
        <v>56</v>
      </c>
      <c r="E93" s="51">
        <v>4</v>
      </c>
      <c r="F93" s="51" t="s">
        <v>41</v>
      </c>
      <c r="G93" s="53">
        <v>28</v>
      </c>
      <c r="H93" s="54">
        <f t="shared" si="12"/>
        <v>112</v>
      </c>
      <c r="I93" s="49"/>
      <c r="J93" s="18"/>
      <c r="K93" s="18"/>
      <c r="L93" s="18"/>
      <c r="M93" s="16">
        <f t="shared" si="13"/>
        <v>0</v>
      </c>
      <c r="N93" s="32" t="s">
        <v>52</v>
      </c>
      <c r="O93" s="32" t="s">
        <v>16</v>
      </c>
      <c r="P93" s="33">
        <v>263</v>
      </c>
      <c r="Q93" s="34" t="s">
        <v>8</v>
      </c>
      <c r="R93" s="35" t="s">
        <v>38</v>
      </c>
    </row>
    <row r="94" spans="2:18" x14ac:dyDescent="0.25">
      <c r="B94" s="51">
        <v>3</v>
      </c>
      <c r="C94" s="52">
        <v>45851</v>
      </c>
      <c r="D94" s="51" t="s">
        <v>39</v>
      </c>
      <c r="E94" s="51">
        <v>5</v>
      </c>
      <c r="F94" s="51" t="s">
        <v>41</v>
      </c>
      <c r="G94" s="53">
        <v>28</v>
      </c>
      <c r="H94" s="54">
        <f t="shared" si="12"/>
        <v>140</v>
      </c>
      <c r="I94" s="49"/>
      <c r="J94" s="18"/>
      <c r="K94" s="18"/>
      <c r="L94" s="18"/>
      <c r="M94" s="16">
        <f t="shared" si="13"/>
        <v>0</v>
      </c>
      <c r="N94" s="32"/>
      <c r="O94" s="32"/>
      <c r="P94" s="33"/>
      <c r="Q94" s="34"/>
      <c r="R94" s="35"/>
    </row>
    <row r="95" spans="2:18" x14ac:dyDescent="0.25">
      <c r="B95" s="51">
        <v>3</v>
      </c>
      <c r="C95" s="52">
        <v>45870</v>
      </c>
      <c r="D95" s="51" t="s">
        <v>39</v>
      </c>
      <c r="E95" s="51">
        <v>4</v>
      </c>
      <c r="F95" s="51" t="s">
        <v>40</v>
      </c>
      <c r="G95" s="53">
        <v>28</v>
      </c>
      <c r="H95" s="54">
        <f>E95*G95</f>
        <v>112</v>
      </c>
      <c r="I95" s="47"/>
      <c r="J95" s="16"/>
      <c r="K95" s="16"/>
      <c r="L95" s="16"/>
      <c r="M95" s="16">
        <f>SUM(I95:L95)</f>
        <v>0</v>
      </c>
      <c r="N95" s="31" t="s">
        <v>50</v>
      </c>
      <c r="O95" s="32" t="s">
        <v>16</v>
      </c>
      <c r="P95" s="33">
        <v>1000</v>
      </c>
      <c r="Q95" s="34" t="s">
        <v>61</v>
      </c>
      <c r="R95" s="32" t="s">
        <v>38</v>
      </c>
    </row>
    <row r="96" spans="2:18" x14ac:dyDescent="0.25">
      <c r="B96" s="51">
        <v>3</v>
      </c>
      <c r="C96" s="52">
        <v>45871</v>
      </c>
      <c r="D96" s="51" t="s">
        <v>46</v>
      </c>
      <c r="E96" s="51">
        <v>5</v>
      </c>
      <c r="F96" s="51" t="s">
        <v>41</v>
      </c>
      <c r="G96" s="53">
        <v>28</v>
      </c>
      <c r="H96" s="54">
        <f t="shared" ref="H96:H107" si="14">E96*G96</f>
        <v>140</v>
      </c>
      <c r="I96" s="47"/>
      <c r="J96" s="16"/>
      <c r="K96" s="16"/>
      <c r="L96" s="16"/>
      <c r="M96" s="16">
        <f t="shared" ref="M96:M107" si="15">SUM(I96:L96)</f>
        <v>0</v>
      </c>
      <c r="N96" s="31" t="s">
        <v>51</v>
      </c>
      <c r="O96" s="32" t="s">
        <v>16</v>
      </c>
      <c r="P96" s="33">
        <v>370</v>
      </c>
      <c r="Q96" s="34" t="s">
        <v>61</v>
      </c>
      <c r="R96" s="32" t="s">
        <v>38</v>
      </c>
    </row>
    <row r="97" spans="2:18" x14ac:dyDescent="0.25">
      <c r="B97" s="51">
        <v>3</v>
      </c>
      <c r="C97" s="52">
        <v>45872</v>
      </c>
      <c r="D97" s="51" t="s">
        <v>46</v>
      </c>
      <c r="E97" s="51">
        <v>5</v>
      </c>
      <c r="F97" s="51" t="s">
        <v>41</v>
      </c>
      <c r="G97" s="53">
        <v>28</v>
      </c>
      <c r="H97" s="54">
        <f t="shared" si="14"/>
        <v>140</v>
      </c>
      <c r="I97" s="47"/>
      <c r="J97" s="16"/>
      <c r="K97" s="16"/>
      <c r="L97" s="16"/>
      <c r="M97" s="16">
        <f t="shared" si="15"/>
        <v>0</v>
      </c>
      <c r="N97" s="31" t="s">
        <v>80</v>
      </c>
      <c r="O97" s="32" t="s">
        <v>44</v>
      </c>
      <c r="P97" s="33">
        <v>155</v>
      </c>
      <c r="Q97" s="34" t="s">
        <v>8</v>
      </c>
      <c r="R97" s="32" t="s">
        <v>38</v>
      </c>
    </row>
    <row r="98" spans="2:18" x14ac:dyDescent="0.25">
      <c r="B98" s="51">
        <v>3</v>
      </c>
      <c r="C98" s="52">
        <v>45873</v>
      </c>
      <c r="D98" s="51" t="s">
        <v>47</v>
      </c>
      <c r="E98" s="51">
        <v>8</v>
      </c>
      <c r="F98" s="51" t="s">
        <v>41</v>
      </c>
      <c r="G98" s="53">
        <v>28</v>
      </c>
      <c r="H98" s="54">
        <f t="shared" si="14"/>
        <v>224</v>
      </c>
      <c r="I98" s="47">
        <v>10</v>
      </c>
      <c r="J98" s="16">
        <v>5</v>
      </c>
      <c r="K98" s="16">
        <v>14</v>
      </c>
      <c r="L98" s="16">
        <v>15</v>
      </c>
      <c r="M98" s="16">
        <f t="shared" si="15"/>
        <v>44</v>
      </c>
      <c r="N98" s="31" t="s">
        <v>52</v>
      </c>
      <c r="O98" s="32" t="s">
        <v>16</v>
      </c>
      <c r="P98" s="33">
        <v>250</v>
      </c>
      <c r="Q98" s="34" t="s">
        <v>61</v>
      </c>
      <c r="R98" s="32" t="s">
        <v>38</v>
      </c>
    </row>
    <row r="99" spans="2:18" x14ac:dyDescent="0.25">
      <c r="B99" s="51">
        <v>3</v>
      </c>
      <c r="C99" s="52">
        <v>45874</v>
      </c>
      <c r="D99" s="51" t="s">
        <v>47</v>
      </c>
      <c r="E99" s="51">
        <v>12</v>
      </c>
      <c r="F99" s="51" t="s">
        <v>41</v>
      </c>
      <c r="G99" s="53">
        <v>28</v>
      </c>
      <c r="H99" s="54">
        <f t="shared" si="14"/>
        <v>336</v>
      </c>
      <c r="I99" s="47">
        <v>21</v>
      </c>
      <c r="J99" s="16">
        <v>78</v>
      </c>
      <c r="K99" s="16">
        <v>1</v>
      </c>
      <c r="L99" s="16"/>
      <c r="M99" s="16">
        <f t="shared" si="15"/>
        <v>100</v>
      </c>
      <c r="N99" s="31" t="s">
        <v>53</v>
      </c>
      <c r="O99" s="32" t="s">
        <v>16</v>
      </c>
      <c r="P99" s="33">
        <v>250</v>
      </c>
      <c r="Q99" s="34" t="s">
        <v>61</v>
      </c>
      <c r="R99" s="32" t="s">
        <v>38</v>
      </c>
    </row>
    <row r="100" spans="2:18" x14ac:dyDescent="0.25">
      <c r="B100" s="51">
        <v>3</v>
      </c>
      <c r="C100" s="52">
        <v>45875</v>
      </c>
      <c r="D100" s="51" t="s">
        <v>39</v>
      </c>
      <c r="E100" s="51">
        <v>2</v>
      </c>
      <c r="F100" s="51" t="s">
        <v>41</v>
      </c>
      <c r="G100" s="53">
        <v>28</v>
      </c>
      <c r="H100" s="54">
        <f t="shared" si="14"/>
        <v>56</v>
      </c>
      <c r="I100" s="48"/>
      <c r="J100" s="17"/>
      <c r="K100" s="17"/>
      <c r="L100" s="17"/>
      <c r="M100" s="16">
        <f t="shared" si="15"/>
        <v>0</v>
      </c>
      <c r="N100" s="31" t="s">
        <v>54</v>
      </c>
      <c r="O100" s="32" t="s">
        <v>16</v>
      </c>
      <c r="P100" s="33">
        <v>99</v>
      </c>
      <c r="Q100" s="34" t="s">
        <v>61</v>
      </c>
      <c r="R100" s="32" t="s">
        <v>38</v>
      </c>
    </row>
    <row r="101" spans="2:18" x14ac:dyDescent="0.25">
      <c r="B101" s="51">
        <v>3</v>
      </c>
      <c r="C101" s="52">
        <v>45876</v>
      </c>
      <c r="D101" s="51" t="s">
        <v>55</v>
      </c>
      <c r="E101" s="51">
        <v>3</v>
      </c>
      <c r="F101" s="51" t="s">
        <v>41</v>
      </c>
      <c r="G101" s="53">
        <v>28</v>
      </c>
      <c r="H101" s="54">
        <f t="shared" si="14"/>
        <v>84</v>
      </c>
      <c r="I101" s="48"/>
      <c r="J101" s="17"/>
      <c r="K101" s="17"/>
      <c r="L101" s="17"/>
      <c r="M101" s="16">
        <f t="shared" si="15"/>
        <v>0</v>
      </c>
      <c r="N101" s="31" t="s">
        <v>26</v>
      </c>
      <c r="O101" s="32" t="s">
        <v>16</v>
      </c>
      <c r="P101" s="33">
        <v>1500</v>
      </c>
      <c r="Q101" s="34" t="s">
        <v>61</v>
      </c>
      <c r="R101" s="35" t="s">
        <v>38</v>
      </c>
    </row>
    <row r="102" spans="2:18" x14ac:dyDescent="0.25">
      <c r="B102" s="51">
        <v>3</v>
      </c>
      <c r="C102" s="52">
        <v>45877</v>
      </c>
      <c r="D102" s="51" t="s">
        <v>56</v>
      </c>
      <c r="E102" s="51">
        <v>5</v>
      </c>
      <c r="F102" s="51" t="s">
        <v>41</v>
      </c>
      <c r="G102" s="53">
        <v>28</v>
      </c>
      <c r="H102" s="54">
        <f t="shared" si="14"/>
        <v>140</v>
      </c>
      <c r="I102" s="48"/>
      <c r="J102" s="17"/>
      <c r="K102" s="17"/>
      <c r="L102" s="17"/>
      <c r="M102" s="16">
        <f t="shared" si="15"/>
        <v>0</v>
      </c>
      <c r="N102" s="31" t="s">
        <v>27</v>
      </c>
      <c r="O102" s="32" t="s">
        <v>16</v>
      </c>
      <c r="P102" s="33">
        <v>279</v>
      </c>
      <c r="Q102" s="34" t="s">
        <v>61</v>
      </c>
      <c r="R102" s="35" t="s">
        <v>38</v>
      </c>
    </row>
    <row r="103" spans="2:18" x14ac:dyDescent="0.25">
      <c r="B103" s="51">
        <v>3</v>
      </c>
      <c r="C103" s="52">
        <v>45878</v>
      </c>
      <c r="D103" s="51" t="s">
        <v>39</v>
      </c>
      <c r="E103" s="51">
        <v>5</v>
      </c>
      <c r="F103" s="51" t="s">
        <v>41</v>
      </c>
      <c r="G103" s="53">
        <v>28</v>
      </c>
      <c r="H103" s="54">
        <f t="shared" si="14"/>
        <v>140</v>
      </c>
      <c r="I103" s="48">
        <v>50</v>
      </c>
      <c r="J103" s="17">
        <v>10</v>
      </c>
      <c r="K103" s="17">
        <v>60</v>
      </c>
      <c r="L103" s="17">
        <v>0</v>
      </c>
      <c r="M103" s="16">
        <f t="shared" si="15"/>
        <v>120</v>
      </c>
      <c r="N103" s="31" t="s">
        <v>58</v>
      </c>
      <c r="O103" s="32" t="s">
        <v>16</v>
      </c>
      <c r="P103" s="33">
        <v>458</v>
      </c>
      <c r="Q103" s="34" t="s">
        <v>61</v>
      </c>
      <c r="R103" s="35" t="s">
        <v>38</v>
      </c>
    </row>
    <row r="104" spans="2:18" x14ac:dyDescent="0.25">
      <c r="B104" s="51">
        <v>3</v>
      </c>
      <c r="C104" s="52">
        <v>45879</v>
      </c>
      <c r="D104" s="51" t="s">
        <v>39</v>
      </c>
      <c r="E104" s="51">
        <v>6</v>
      </c>
      <c r="F104" s="51" t="s">
        <v>41</v>
      </c>
      <c r="G104" s="53">
        <v>28</v>
      </c>
      <c r="H104" s="54">
        <f t="shared" si="14"/>
        <v>168</v>
      </c>
      <c r="I104" s="49"/>
      <c r="J104" s="18"/>
      <c r="K104" s="18"/>
      <c r="L104" s="18"/>
      <c r="M104" s="16">
        <f t="shared" si="15"/>
        <v>0</v>
      </c>
      <c r="N104" s="32" t="s">
        <v>84</v>
      </c>
      <c r="O104" s="32" t="s">
        <v>44</v>
      </c>
      <c r="P104" s="33">
        <v>654</v>
      </c>
      <c r="Q104" s="34" t="s">
        <v>61</v>
      </c>
      <c r="R104" s="35" t="s">
        <v>38</v>
      </c>
    </row>
    <row r="105" spans="2:18" x14ac:dyDescent="0.25">
      <c r="B105" s="51">
        <v>3</v>
      </c>
      <c r="C105" s="52">
        <v>45880</v>
      </c>
      <c r="D105" s="51" t="s">
        <v>55</v>
      </c>
      <c r="E105" s="51">
        <v>4</v>
      </c>
      <c r="F105" s="51" t="s">
        <v>41</v>
      </c>
      <c r="G105" s="53">
        <v>28</v>
      </c>
      <c r="H105" s="54">
        <f t="shared" si="14"/>
        <v>112</v>
      </c>
      <c r="I105" s="49"/>
      <c r="J105" s="18"/>
      <c r="K105" s="18"/>
      <c r="L105" s="18"/>
      <c r="M105" s="16">
        <f t="shared" si="15"/>
        <v>0</v>
      </c>
      <c r="N105" s="32" t="s">
        <v>79</v>
      </c>
      <c r="O105" s="32" t="s">
        <v>16</v>
      </c>
      <c r="P105" s="33">
        <v>548</v>
      </c>
      <c r="Q105" s="34" t="s">
        <v>8</v>
      </c>
      <c r="R105" s="35" t="s">
        <v>38</v>
      </c>
    </row>
    <row r="106" spans="2:18" x14ac:dyDescent="0.25">
      <c r="B106" s="51">
        <v>3</v>
      </c>
      <c r="C106" s="52">
        <v>45881</v>
      </c>
      <c r="D106" s="51" t="s">
        <v>56</v>
      </c>
      <c r="E106" s="51">
        <v>8</v>
      </c>
      <c r="F106" s="51" t="s">
        <v>41</v>
      </c>
      <c r="G106" s="53">
        <v>28</v>
      </c>
      <c r="H106" s="54">
        <f t="shared" si="14"/>
        <v>224</v>
      </c>
      <c r="I106" s="49"/>
      <c r="J106" s="18"/>
      <c r="K106" s="18"/>
      <c r="L106" s="18"/>
      <c r="M106" s="16">
        <f t="shared" si="15"/>
        <v>0</v>
      </c>
      <c r="N106" s="32" t="s">
        <v>52</v>
      </c>
      <c r="O106" s="32" t="s">
        <v>16</v>
      </c>
      <c r="P106" s="33">
        <v>516</v>
      </c>
      <c r="Q106" s="34" t="s">
        <v>8</v>
      </c>
      <c r="R106" s="35" t="s">
        <v>38</v>
      </c>
    </row>
    <row r="107" spans="2:18" x14ac:dyDescent="0.25">
      <c r="B107" s="51">
        <v>3</v>
      </c>
      <c r="C107" s="52">
        <v>45882</v>
      </c>
      <c r="D107" s="51" t="s">
        <v>39</v>
      </c>
      <c r="E107" s="51">
        <v>7</v>
      </c>
      <c r="F107" s="51" t="s">
        <v>41</v>
      </c>
      <c r="G107" s="53">
        <v>28</v>
      </c>
      <c r="H107" s="54">
        <f t="shared" si="14"/>
        <v>196</v>
      </c>
      <c r="I107" s="49"/>
      <c r="J107" s="18"/>
      <c r="K107" s="18"/>
      <c r="L107" s="18"/>
      <c r="M107" s="16">
        <f t="shared" si="15"/>
        <v>0</v>
      </c>
      <c r="N107" s="32"/>
      <c r="O107" s="32"/>
      <c r="P107" s="33"/>
      <c r="Q107" s="34"/>
      <c r="R107" s="35"/>
    </row>
    <row r="108" spans="2:18" x14ac:dyDescent="0.25">
      <c r="B108" s="51">
        <v>4</v>
      </c>
      <c r="C108" s="52">
        <v>45901</v>
      </c>
      <c r="D108" s="51" t="s">
        <v>39</v>
      </c>
      <c r="E108" s="51">
        <v>1</v>
      </c>
      <c r="F108" s="51" t="s">
        <v>40</v>
      </c>
      <c r="G108" s="53">
        <v>28</v>
      </c>
      <c r="H108" s="54">
        <f>E108*G108</f>
        <v>28</v>
      </c>
      <c r="I108" s="47"/>
      <c r="J108" s="16"/>
      <c r="K108" s="16"/>
      <c r="L108" s="16"/>
      <c r="M108" s="16">
        <f>SUM(I108:L108)</f>
        <v>0</v>
      </c>
      <c r="N108" s="31" t="s">
        <v>50</v>
      </c>
      <c r="O108" s="32" t="s">
        <v>16</v>
      </c>
      <c r="P108" s="33">
        <v>700</v>
      </c>
      <c r="Q108" s="34" t="s">
        <v>61</v>
      </c>
      <c r="R108" s="32" t="s">
        <v>38</v>
      </c>
    </row>
    <row r="109" spans="2:18" x14ac:dyDescent="0.25">
      <c r="B109" s="51">
        <v>4</v>
      </c>
      <c r="C109" s="52">
        <v>45902</v>
      </c>
      <c r="D109" s="51" t="s">
        <v>46</v>
      </c>
      <c r="E109" s="51">
        <v>4</v>
      </c>
      <c r="F109" s="51" t="s">
        <v>41</v>
      </c>
      <c r="G109" s="53">
        <v>28</v>
      </c>
      <c r="H109" s="54">
        <f t="shared" ref="H109:H120" si="16">E109*G109</f>
        <v>112</v>
      </c>
      <c r="I109" s="47"/>
      <c r="J109" s="16"/>
      <c r="K109" s="16"/>
      <c r="L109" s="16"/>
      <c r="M109" s="16">
        <f t="shared" ref="M109:M120" si="17">SUM(I109:L109)</f>
        <v>0</v>
      </c>
      <c r="N109" s="31" t="s">
        <v>51</v>
      </c>
      <c r="O109" s="32" t="s">
        <v>16</v>
      </c>
      <c r="P109" s="33">
        <v>640</v>
      </c>
      <c r="Q109" s="34" t="s">
        <v>61</v>
      </c>
      <c r="R109" s="32" t="s">
        <v>38</v>
      </c>
    </row>
    <row r="110" spans="2:18" x14ac:dyDescent="0.25">
      <c r="B110" s="51">
        <v>4</v>
      </c>
      <c r="C110" s="52">
        <v>45903</v>
      </c>
      <c r="D110" s="51" t="s">
        <v>46</v>
      </c>
      <c r="E110" s="51">
        <v>8</v>
      </c>
      <c r="F110" s="51" t="s">
        <v>41</v>
      </c>
      <c r="G110" s="53">
        <v>28</v>
      </c>
      <c r="H110" s="54">
        <f t="shared" si="16"/>
        <v>224</v>
      </c>
      <c r="I110" s="47"/>
      <c r="J110" s="16"/>
      <c r="K110" s="16"/>
      <c r="L110" s="16"/>
      <c r="M110" s="16">
        <f t="shared" si="17"/>
        <v>0</v>
      </c>
      <c r="N110" s="31" t="s">
        <v>80</v>
      </c>
      <c r="O110" s="32" t="s">
        <v>44</v>
      </c>
      <c r="P110" s="33">
        <v>641</v>
      </c>
      <c r="Q110" s="34" t="s">
        <v>8</v>
      </c>
      <c r="R110" s="32" t="s">
        <v>38</v>
      </c>
    </row>
    <row r="111" spans="2:18" x14ac:dyDescent="0.25">
      <c r="B111" s="51">
        <v>4</v>
      </c>
      <c r="C111" s="52">
        <v>45904</v>
      </c>
      <c r="D111" s="51" t="s">
        <v>47</v>
      </c>
      <c r="E111" s="51">
        <v>6</v>
      </c>
      <c r="F111" s="51" t="s">
        <v>41</v>
      </c>
      <c r="G111" s="53">
        <v>28</v>
      </c>
      <c r="H111" s="54">
        <f t="shared" si="16"/>
        <v>168</v>
      </c>
      <c r="I111" s="47"/>
      <c r="J111" s="16"/>
      <c r="K111" s="16"/>
      <c r="L111" s="16"/>
      <c r="M111" s="16">
        <f t="shared" si="17"/>
        <v>0</v>
      </c>
      <c r="N111" s="31" t="s">
        <v>52</v>
      </c>
      <c r="O111" s="32" t="s">
        <v>16</v>
      </c>
      <c r="P111" s="33">
        <v>659</v>
      </c>
      <c r="Q111" s="34" t="s">
        <v>61</v>
      </c>
      <c r="R111" s="32" t="s">
        <v>38</v>
      </c>
    </row>
    <row r="112" spans="2:18" x14ac:dyDescent="0.25">
      <c r="B112" s="51">
        <v>4</v>
      </c>
      <c r="C112" s="52">
        <v>45905</v>
      </c>
      <c r="D112" s="51" t="s">
        <v>47</v>
      </c>
      <c r="E112" s="51">
        <v>7</v>
      </c>
      <c r="F112" s="51" t="s">
        <v>41</v>
      </c>
      <c r="G112" s="53">
        <v>28</v>
      </c>
      <c r="H112" s="54">
        <f t="shared" si="16"/>
        <v>196</v>
      </c>
      <c r="I112" s="47"/>
      <c r="J112" s="16"/>
      <c r="K112" s="16"/>
      <c r="L112" s="16"/>
      <c r="M112" s="16">
        <f t="shared" si="17"/>
        <v>0</v>
      </c>
      <c r="N112" s="31" t="s">
        <v>53</v>
      </c>
      <c r="O112" s="32" t="s">
        <v>16</v>
      </c>
      <c r="P112" s="33">
        <v>641</v>
      </c>
      <c r="Q112" s="34" t="s">
        <v>61</v>
      </c>
      <c r="R112" s="32" t="s">
        <v>38</v>
      </c>
    </row>
    <row r="113" spans="2:18" x14ac:dyDescent="0.25">
      <c r="B113" s="51">
        <v>4</v>
      </c>
      <c r="C113" s="52">
        <v>45906</v>
      </c>
      <c r="D113" s="51" t="s">
        <v>39</v>
      </c>
      <c r="E113" s="51">
        <v>5</v>
      </c>
      <c r="F113" s="51" t="s">
        <v>41</v>
      </c>
      <c r="G113" s="53">
        <v>28</v>
      </c>
      <c r="H113" s="54">
        <f t="shared" si="16"/>
        <v>140</v>
      </c>
      <c r="I113" s="48"/>
      <c r="J113" s="17"/>
      <c r="K113" s="17"/>
      <c r="L113" s="17"/>
      <c r="M113" s="16">
        <f t="shared" si="17"/>
        <v>0</v>
      </c>
      <c r="N113" s="31" t="s">
        <v>54</v>
      </c>
      <c r="O113" s="32" t="s">
        <v>16</v>
      </c>
      <c r="P113" s="33">
        <v>638</v>
      </c>
      <c r="Q113" s="34" t="s">
        <v>61</v>
      </c>
      <c r="R113" s="32" t="s">
        <v>38</v>
      </c>
    </row>
    <row r="114" spans="2:18" x14ac:dyDescent="0.25">
      <c r="B114" s="51">
        <v>4</v>
      </c>
      <c r="C114" s="52">
        <v>45907</v>
      </c>
      <c r="D114" s="51" t="s">
        <v>55</v>
      </c>
      <c r="E114" s="51">
        <v>12</v>
      </c>
      <c r="F114" s="51" t="s">
        <v>41</v>
      </c>
      <c r="G114" s="53">
        <v>28</v>
      </c>
      <c r="H114" s="54">
        <f t="shared" si="16"/>
        <v>336</v>
      </c>
      <c r="I114" s="48"/>
      <c r="J114" s="17"/>
      <c r="K114" s="17"/>
      <c r="L114" s="17"/>
      <c r="M114" s="16">
        <f t="shared" si="17"/>
        <v>0</v>
      </c>
      <c r="N114" s="31" t="s">
        <v>26</v>
      </c>
      <c r="O114" s="32" t="s">
        <v>16</v>
      </c>
      <c r="P114" s="33">
        <v>1698</v>
      </c>
      <c r="Q114" s="34" t="s">
        <v>61</v>
      </c>
      <c r="R114" s="35" t="s">
        <v>38</v>
      </c>
    </row>
    <row r="115" spans="2:18" x14ac:dyDescent="0.25">
      <c r="B115" s="51">
        <v>4</v>
      </c>
      <c r="C115" s="52">
        <v>45908</v>
      </c>
      <c r="D115" s="51" t="s">
        <v>56</v>
      </c>
      <c r="E115" s="51">
        <v>4</v>
      </c>
      <c r="F115" s="51" t="s">
        <v>41</v>
      </c>
      <c r="G115" s="53">
        <v>28</v>
      </c>
      <c r="H115" s="54">
        <f t="shared" si="16"/>
        <v>112</v>
      </c>
      <c r="I115" s="48"/>
      <c r="J115" s="17"/>
      <c r="K115" s="17"/>
      <c r="L115" s="17"/>
      <c r="M115" s="16">
        <f t="shared" si="17"/>
        <v>0</v>
      </c>
      <c r="N115" s="31" t="s">
        <v>27</v>
      </c>
      <c r="O115" s="32" t="s">
        <v>16</v>
      </c>
      <c r="P115" s="33">
        <v>967</v>
      </c>
      <c r="Q115" s="34" t="s">
        <v>61</v>
      </c>
      <c r="R115" s="35" t="s">
        <v>38</v>
      </c>
    </row>
    <row r="116" spans="2:18" x14ac:dyDescent="0.25">
      <c r="B116" s="51">
        <v>4</v>
      </c>
      <c r="C116" s="52">
        <v>45909</v>
      </c>
      <c r="D116" s="51" t="s">
        <v>39</v>
      </c>
      <c r="E116" s="51">
        <v>12</v>
      </c>
      <c r="F116" s="51" t="s">
        <v>41</v>
      </c>
      <c r="G116" s="53">
        <v>28</v>
      </c>
      <c r="H116" s="54">
        <f t="shared" si="16"/>
        <v>336</v>
      </c>
      <c r="I116" s="48"/>
      <c r="J116" s="17"/>
      <c r="K116" s="17"/>
      <c r="L116" s="17"/>
      <c r="M116" s="16">
        <f t="shared" si="17"/>
        <v>0</v>
      </c>
      <c r="N116" s="31" t="s">
        <v>58</v>
      </c>
      <c r="O116" s="32" t="s">
        <v>16</v>
      </c>
      <c r="P116" s="33">
        <v>612</v>
      </c>
      <c r="Q116" s="34" t="s">
        <v>61</v>
      </c>
      <c r="R116" s="35" t="s">
        <v>38</v>
      </c>
    </row>
    <row r="117" spans="2:18" x14ac:dyDescent="0.25">
      <c r="B117" s="51">
        <v>4</v>
      </c>
      <c r="C117" s="52">
        <v>45910</v>
      </c>
      <c r="D117" s="51" t="s">
        <v>39</v>
      </c>
      <c r="E117" s="51">
        <v>6</v>
      </c>
      <c r="F117" s="51" t="s">
        <v>41</v>
      </c>
      <c r="G117" s="53">
        <v>28</v>
      </c>
      <c r="H117" s="54">
        <f t="shared" si="16"/>
        <v>168</v>
      </c>
      <c r="I117" s="49"/>
      <c r="J117" s="18"/>
      <c r="K117" s="18"/>
      <c r="L117" s="18"/>
      <c r="M117" s="16">
        <f t="shared" si="17"/>
        <v>0</v>
      </c>
      <c r="N117" s="32" t="s">
        <v>84</v>
      </c>
      <c r="O117" s="32" t="s">
        <v>44</v>
      </c>
      <c r="P117" s="33">
        <v>165</v>
      </c>
      <c r="Q117" s="34" t="s">
        <v>61</v>
      </c>
      <c r="R117" s="35" t="s">
        <v>38</v>
      </c>
    </row>
    <row r="118" spans="2:18" x14ac:dyDescent="0.25">
      <c r="B118" s="51">
        <v>4</v>
      </c>
      <c r="C118" s="52">
        <v>45911</v>
      </c>
      <c r="D118" s="51" t="s">
        <v>55</v>
      </c>
      <c r="E118" s="51">
        <v>12</v>
      </c>
      <c r="F118" s="51" t="s">
        <v>41</v>
      </c>
      <c r="G118" s="53">
        <v>28</v>
      </c>
      <c r="H118" s="54">
        <f t="shared" si="16"/>
        <v>336</v>
      </c>
      <c r="I118" s="49"/>
      <c r="J118" s="18"/>
      <c r="K118" s="18"/>
      <c r="L118" s="18"/>
      <c r="M118" s="16">
        <f t="shared" si="17"/>
        <v>0</v>
      </c>
      <c r="N118" s="32" t="s">
        <v>79</v>
      </c>
      <c r="O118" s="32" t="s">
        <v>16</v>
      </c>
      <c r="P118" s="33">
        <v>987</v>
      </c>
      <c r="Q118" s="34" t="s">
        <v>8</v>
      </c>
      <c r="R118" s="35" t="s">
        <v>38</v>
      </c>
    </row>
    <row r="119" spans="2:18" x14ac:dyDescent="0.25">
      <c r="B119" s="51">
        <v>4</v>
      </c>
      <c r="C119" s="52">
        <v>45912</v>
      </c>
      <c r="D119" s="51" t="s">
        <v>56</v>
      </c>
      <c r="E119" s="51">
        <v>10</v>
      </c>
      <c r="F119" s="51" t="s">
        <v>41</v>
      </c>
      <c r="G119" s="53">
        <v>28</v>
      </c>
      <c r="H119" s="54">
        <f t="shared" si="16"/>
        <v>280</v>
      </c>
      <c r="I119" s="49"/>
      <c r="J119" s="18"/>
      <c r="K119" s="18"/>
      <c r="L119" s="18"/>
      <c r="M119" s="16">
        <f t="shared" si="17"/>
        <v>0</v>
      </c>
      <c r="N119" s="32" t="s">
        <v>52</v>
      </c>
      <c r="O119" s="32" t="s">
        <v>16</v>
      </c>
      <c r="P119" s="33">
        <v>652</v>
      </c>
      <c r="Q119" s="34" t="s">
        <v>8</v>
      </c>
      <c r="R119" s="35" t="s">
        <v>38</v>
      </c>
    </row>
    <row r="120" spans="2:18" x14ac:dyDescent="0.25">
      <c r="B120" s="51">
        <v>4</v>
      </c>
      <c r="C120" s="52">
        <v>45913</v>
      </c>
      <c r="D120" s="51" t="s">
        <v>39</v>
      </c>
      <c r="E120" s="51">
        <v>9</v>
      </c>
      <c r="F120" s="51" t="s">
        <v>41</v>
      </c>
      <c r="G120" s="53">
        <v>28</v>
      </c>
      <c r="H120" s="54">
        <f t="shared" si="16"/>
        <v>252</v>
      </c>
      <c r="I120" s="49"/>
      <c r="J120" s="18"/>
      <c r="K120" s="18"/>
      <c r="L120" s="18"/>
      <c r="M120" s="16">
        <f t="shared" si="17"/>
        <v>0</v>
      </c>
      <c r="N120" s="32"/>
      <c r="O120" s="32"/>
      <c r="P120" s="33"/>
      <c r="Q120" s="34"/>
      <c r="R120" s="35"/>
    </row>
    <row r="121" spans="2:18" x14ac:dyDescent="0.25">
      <c r="B121" s="51">
        <v>1</v>
      </c>
      <c r="C121" s="52">
        <v>45931</v>
      </c>
      <c r="D121" s="51" t="s">
        <v>39</v>
      </c>
      <c r="E121" s="51">
        <v>4</v>
      </c>
      <c r="F121" s="51" t="s">
        <v>40</v>
      </c>
      <c r="G121" s="53">
        <v>28</v>
      </c>
      <c r="H121" s="54">
        <f>E121*G121</f>
        <v>112</v>
      </c>
      <c r="I121" s="47"/>
      <c r="J121" s="16"/>
      <c r="K121" s="16"/>
      <c r="L121" s="16"/>
      <c r="M121" s="16">
        <f>SUM(I121:L121)</f>
        <v>0</v>
      </c>
      <c r="N121" s="31" t="s">
        <v>50</v>
      </c>
      <c r="O121" s="32" t="s">
        <v>16</v>
      </c>
      <c r="P121" s="33">
        <v>500</v>
      </c>
      <c r="Q121" s="34" t="s">
        <v>61</v>
      </c>
      <c r="R121" s="32" t="s">
        <v>38</v>
      </c>
    </row>
    <row r="122" spans="2:18" x14ac:dyDescent="0.25">
      <c r="B122" s="51">
        <v>1</v>
      </c>
      <c r="C122" s="52">
        <v>45932</v>
      </c>
      <c r="D122" s="51" t="s">
        <v>46</v>
      </c>
      <c r="E122" s="51">
        <v>8</v>
      </c>
      <c r="F122" s="51" t="s">
        <v>41</v>
      </c>
      <c r="G122" s="53">
        <v>28</v>
      </c>
      <c r="H122" s="54">
        <f t="shared" ref="H122:H133" si="18">E122*G122</f>
        <v>224</v>
      </c>
      <c r="I122" s="47"/>
      <c r="J122" s="16"/>
      <c r="K122" s="16"/>
      <c r="L122" s="16"/>
      <c r="M122" s="16">
        <f t="shared" ref="M122:M133" si="19">SUM(I122:L122)</f>
        <v>0</v>
      </c>
      <c r="N122" s="31" t="s">
        <v>51</v>
      </c>
      <c r="O122" s="32" t="s">
        <v>16</v>
      </c>
      <c r="P122" s="33">
        <v>582</v>
      </c>
      <c r="Q122" s="34" t="s">
        <v>61</v>
      </c>
      <c r="R122" s="32" t="s">
        <v>38</v>
      </c>
    </row>
    <row r="123" spans="2:18" x14ac:dyDescent="0.25">
      <c r="B123" s="51">
        <v>1</v>
      </c>
      <c r="C123" s="52">
        <v>45933</v>
      </c>
      <c r="D123" s="51" t="s">
        <v>46</v>
      </c>
      <c r="E123" s="51">
        <v>7</v>
      </c>
      <c r="F123" s="51" t="s">
        <v>41</v>
      </c>
      <c r="G123" s="53">
        <v>28</v>
      </c>
      <c r="H123" s="54">
        <f t="shared" si="18"/>
        <v>196</v>
      </c>
      <c r="I123" s="47"/>
      <c r="J123" s="16"/>
      <c r="K123" s="16"/>
      <c r="L123" s="16"/>
      <c r="M123" s="16">
        <f t="shared" si="19"/>
        <v>0</v>
      </c>
      <c r="N123" s="31" t="s">
        <v>80</v>
      </c>
      <c r="O123" s="32" t="s">
        <v>44</v>
      </c>
      <c r="P123" s="33">
        <v>592</v>
      </c>
      <c r="Q123" s="34" t="s">
        <v>8</v>
      </c>
      <c r="R123" s="32" t="s">
        <v>38</v>
      </c>
    </row>
    <row r="124" spans="2:18" x14ac:dyDescent="0.25">
      <c r="B124" s="51">
        <v>1</v>
      </c>
      <c r="C124" s="52">
        <v>45934</v>
      </c>
      <c r="D124" s="51" t="s">
        <v>47</v>
      </c>
      <c r="E124" s="51">
        <v>5</v>
      </c>
      <c r="F124" s="51" t="s">
        <v>41</v>
      </c>
      <c r="G124" s="53">
        <v>28</v>
      </c>
      <c r="H124" s="54">
        <f t="shared" si="18"/>
        <v>140</v>
      </c>
      <c r="I124" s="47"/>
      <c r="J124" s="16"/>
      <c r="K124" s="16"/>
      <c r="L124" s="16"/>
      <c r="M124" s="16">
        <f t="shared" si="19"/>
        <v>0</v>
      </c>
      <c r="N124" s="31" t="s">
        <v>52</v>
      </c>
      <c r="O124" s="32" t="s">
        <v>16</v>
      </c>
      <c r="P124" s="33">
        <v>189</v>
      </c>
      <c r="Q124" s="34" t="s">
        <v>61</v>
      </c>
      <c r="R124" s="32" t="s">
        <v>38</v>
      </c>
    </row>
    <row r="125" spans="2:18" x14ac:dyDescent="0.25">
      <c r="B125" s="51">
        <v>1</v>
      </c>
      <c r="C125" s="52">
        <v>45935</v>
      </c>
      <c r="D125" s="51" t="s">
        <v>47</v>
      </c>
      <c r="E125" s="51">
        <v>7</v>
      </c>
      <c r="F125" s="51" t="s">
        <v>41</v>
      </c>
      <c r="G125" s="53">
        <v>28</v>
      </c>
      <c r="H125" s="54">
        <f t="shared" si="18"/>
        <v>196</v>
      </c>
      <c r="I125" s="47"/>
      <c r="J125" s="16"/>
      <c r="K125" s="16"/>
      <c r="L125" s="16"/>
      <c r="M125" s="16">
        <f t="shared" si="19"/>
        <v>0</v>
      </c>
      <c r="N125" s="31" t="s">
        <v>53</v>
      </c>
      <c r="O125" s="32" t="s">
        <v>16</v>
      </c>
      <c r="P125" s="33">
        <v>158</v>
      </c>
      <c r="Q125" s="34" t="s">
        <v>61</v>
      </c>
      <c r="R125" s="32" t="s">
        <v>38</v>
      </c>
    </row>
    <row r="126" spans="2:18" x14ac:dyDescent="0.25">
      <c r="B126" s="51">
        <v>1</v>
      </c>
      <c r="C126" s="52">
        <v>45936</v>
      </c>
      <c r="D126" s="51" t="s">
        <v>39</v>
      </c>
      <c r="E126" s="51">
        <v>8</v>
      </c>
      <c r="F126" s="51" t="s">
        <v>41</v>
      </c>
      <c r="G126" s="53">
        <v>28</v>
      </c>
      <c r="H126" s="54">
        <f t="shared" si="18"/>
        <v>224</v>
      </c>
      <c r="I126" s="48"/>
      <c r="J126" s="17"/>
      <c r="K126" s="17"/>
      <c r="L126" s="17"/>
      <c r="M126" s="16">
        <f t="shared" si="19"/>
        <v>0</v>
      </c>
      <c r="N126" s="31" t="s">
        <v>54</v>
      </c>
      <c r="O126" s="32" t="s">
        <v>16</v>
      </c>
      <c r="P126" s="33">
        <v>876</v>
      </c>
      <c r="Q126" s="34" t="s">
        <v>61</v>
      </c>
      <c r="R126" s="32" t="s">
        <v>38</v>
      </c>
    </row>
    <row r="127" spans="2:18" x14ac:dyDescent="0.25">
      <c r="B127" s="51">
        <v>1</v>
      </c>
      <c r="C127" s="52">
        <v>45937</v>
      </c>
      <c r="D127" s="51" t="s">
        <v>55</v>
      </c>
      <c r="E127" s="51">
        <v>9</v>
      </c>
      <c r="F127" s="51" t="s">
        <v>41</v>
      </c>
      <c r="G127" s="53">
        <v>28</v>
      </c>
      <c r="H127" s="54">
        <f t="shared" si="18"/>
        <v>252</v>
      </c>
      <c r="I127" s="48"/>
      <c r="J127" s="17"/>
      <c r="K127" s="17"/>
      <c r="L127" s="17"/>
      <c r="M127" s="16">
        <f t="shared" si="19"/>
        <v>0</v>
      </c>
      <c r="N127" s="31" t="s">
        <v>26</v>
      </c>
      <c r="O127" s="32" t="s">
        <v>16</v>
      </c>
      <c r="P127" s="33">
        <v>487</v>
      </c>
      <c r="Q127" s="34" t="s">
        <v>61</v>
      </c>
      <c r="R127" s="35" t="s">
        <v>38</v>
      </c>
    </row>
    <row r="128" spans="2:18" x14ac:dyDescent="0.25">
      <c r="B128" s="51">
        <v>1</v>
      </c>
      <c r="C128" s="52">
        <v>45938</v>
      </c>
      <c r="D128" s="51" t="s">
        <v>56</v>
      </c>
      <c r="E128" s="51">
        <v>10</v>
      </c>
      <c r="F128" s="51" t="s">
        <v>41</v>
      </c>
      <c r="G128" s="53">
        <v>28</v>
      </c>
      <c r="H128" s="54">
        <f t="shared" si="18"/>
        <v>280</v>
      </c>
      <c r="I128" s="48"/>
      <c r="J128" s="17"/>
      <c r="K128" s="17"/>
      <c r="L128" s="17"/>
      <c r="M128" s="16">
        <f t="shared" si="19"/>
        <v>0</v>
      </c>
      <c r="N128" s="31" t="s">
        <v>27</v>
      </c>
      <c r="O128" s="32" t="s">
        <v>16</v>
      </c>
      <c r="P128" s="33">
        <v>163</v>
      </c>
      <c r="Q128" s="34" t="s">
        <v>61</v>
      </c>
      <c r="R128" s="35" t="s">
        <v>38</v>
      </c>
    </row>
    <row r="129" spans="2:18" x14ac:dyDescent="0.25">
      <c r="B129" s="51">
        <v>1</v>
      </c>
      <c r="C129" s="52">
        <v>45939</v>
      </c>
      <c r="D129" s="51" t="s">
        <v>39</v>
      </c>
      <c r="E129" s="51">
        <v>13</v>
      </c>
      <c r="F129" s="51" t="s">
        <v>41</v>
      </c>
      <c r="G129" s="53">
        <v>28</v>
      </c>
      <c r="H129" s="54">
        <f t="shared" si="18"/>
        <v>364</v>
      </c>
      <c r="I129" s="48"/>
      <c r="J129" s="17"/>
      <c r="K129" s="17"/>
      <c r="L129" s="17"/>
      <c r="M129" s="16">
        <f t="shared" si="19"/>
        <v>0</v>
      </c>
      <c r="N129" s="31" t="s">
        <v>58</v>
      </c>
      <c r="O129" s="32" t="s">
        <v>16</v>
      </c>
      <c r="P129" s="33">
        <v>158</v>
      </c>
      <c r="Q129" s="34" t="s">
        <v>61</v>
      </c>
      <c r="R129" s="35" t="s">
        <v>38</v>
      </c>
    </row>
    <row r="130" spans="2:18" x14ac:dyDescent="0.25">
      <c r="B130" s="51">
        <v>1</v>
      </c>
      <c r="C130" s="52">
        <v>45940</v>
      </c>
      <c r="D130" s="51" t="s">
        <v>39</v>
      </c>
      <c r="E130" s="51">
        <v>11</v>
      </c>
      <c r="F130" s="51" t="s">
        <v>41</v>
      </c>
      <c r="G130" s="53">
        <v>28</v>
      </c>
      <c r="H130" s="54">
        <f t="shared" si="18"/>
        <v>308</v>
      </c>
      <c r="I130" s="49"/>
      <c r="J130" s="18"/>
      <c r="K130" s="18"/>
      <c r="L130" s="18"/>
      <c r="M130" s="16">
        <f t="shared" si="19"/>
        <v>0</v>
      </c>
      <c r="N130" s="32" t="s">
        <v>84</v>
      </c>
      <c r="O130" s="32" t="s">
        <v>44</v>
      </c>
      <c r="P130" s="33">
        <v>481</v>
      </c>
      <c r="Q130" s="34" t="s">
        <v>61</v>
      </c>
      <c r="R130" s="35" t="s">
        <v>38</v>
      </c>
    </row>
    <row r="131" spans="2:18" x14ac:dyDescent="0.25">
      <c r="B131" s="51">
        <v>1</v>
      </c>
      <c r="C131" s="52">
        <v>45941</v>
      </c>
      <c r="D131" s="51" t="s">
        <v>55</v>
      </c>
      <c r="E131" s="51">
        <v>4</v>
      </c>
      <c r="F131" s="51" t="s">
        <v>41</v>
      </c>
      <c r="G131" s="53">
        <v>28</v>
      </c>
      <c r="H131" s="54">
        <f t="shared" si="18"/>
        <v>112</v>
      </c>
      <c r="I131" s="49"/>
      <c r="J131" s="18"/>
      <c r="K131" s="18"/>
      <c r="L131" s="18"/>
      <c r="M131" s="16">
        <f t="shared" si="19"/>
        <v>0</v>
      </c>
      <c r="N131" s="32" t="s">
        <v>79</v>
      </c>
      <c r="O131" s="32" t="s">
        <v>16</v>
      </c>
      <c r="P131" s="33">
        <v>154</v>
      </c>
      <c r="Q131" s="34" t="s">
        <v>8</v>
      </c>
      <c r="R131" s="35" t="s">
        <v>38</v>
      </c>
    </row>
    <row r="132" spans="2:18" x14ac:dyDescent="0.25">
      <c r="B132" s="51">
        <v>1</v>
      </c>
      <c r="C132" s="52">
        <v>45942</v>
      </c>
      <c r="D132" s="51" t="s">
        <v>56</v>
      </c>
      <c r="E132" s="51">
        <v>5</v>
      </c>
      <c r="F132" s="51" t="s">
        <v>41</v>
      </c>
      <c r="G132" s="53">
        <v>28</v>
      </c>
      <c r="H132" s="54">
        <f t="shared" si="18"/>
        <v>140</v>
      </c>
      <c r="I132" s="49"/>
      <c r="J132" s="18"/>
      <c r="K132" s="18"/>
      <c r="L132" s="18"/>
      <c r="M132" s="16">
        <f t="shared" si="19"/>
        <v>0</v>
      </c>
      <c r="N132" s="32" t="s">
        <v>52</v>
      </c>
      <c r="O132" s="32" t="s">
        <v>16</v>
      </c>
      <c r="P132" s="33">
        <v>157</v>
      </c>
      <c r="Q132" s="34" t="s">
        <v>8</v>
      </c>
      <c r="R132" s="35" t="s">
        <v>38</v>
      </c>
    </row>
    <row r="133" spans="2:18" x14ac:dyDescent="0.25">
      <c r="B133" s="51">
        <v>1</v>
      </c>
      <c r="C133" s="52">
        <v>45943</v>
      </c>
      <c r="D133" s="51" t="s">
        <v>39</v>
      </c>
      <c r="E133" s="51">
        <v>9</v>
      </c>
      <c r="F133" s="51" t="s">
        <v>41</v>
      </c>
      <c r="G133" s="53">
        <v>28</v>
      </c>
      <c r="H133" s="54">
        <f t="shared" si="18"/>
        <v>252</v>
      </c>
      <c r="I133" s="49"/>
      <c r="J133" s="18"/>
      <c r="K133" s="18"/>
      <c r="L133" s="18"/>
      <c r="M133" s="16">
        <f t="shared" si="19"/>
        <v>0</v>
      </c>
      <c r="N133" s="32"/>
      <c r="O133" s="32"/>
      <c r="P133" s="33"/>
      <c r="Q133" s="34"/>
      <c r="R133" s="35"/>
    </row>
  </sheetData>
  <conditionalFormatting sqref="Q4:Q16">
    <cfRule type="containsText" dxfId="50" priority="37" operator="containsText" text="Cash">
      <formula>NOT(ISERROR(SEARCH("Cash",Q4)))</formula>
    </cfRule>
    <cfRule type="containsText" dxfId="49" priority="38" operator="containsText" text="Conta Corrente">
      <formula>NOT(ISERROR(SEARCH("Conta Corrente",Q4)))</formula>
    </cfRule>
  </conditionalFormatting>
  <conditionalFormatting sqref="R4:R16">
    <cfRule type="containsText" dxfId="48" priority="39" operator="containsText" text="Pendente">
      <formula>NOT(ISERROR(SEARCH("Pendente",R4)))</formula>
    </cfRule>
    <cfRule type="containsText" dxfId="47" priority="40" operator="containsText" text="Pago">
      <formula>NOT(ISERROR(SEARCH("Pago",R4)))</formula>
    </cfRule>
  </conditionalFormatting>
  <conditionalFormatting sqref="Q17:Q29">
    <cfRule type="containsText" dxfId="46" priority="33" operator="containsText" text="Cash">
      <formula>NOT(ISERROR(SEARCH("Cash",Q17)))</formula>
    </cfRule>
    <cfRule type="containsText" dxfId="45" priority="34" operator="containsText" text="Conta Corrente">
      <formula>NOT(ISERROR(SEARCH("Conta Corrente",Q17)))</formula>
    </cfRule>
  </conditionalFormatting>
  <conditionalFormatting sqref="R17:R29">
    <cfRule type="containsText" dxfId="44" priority="35" operator="containsText" text="Pendente">
      <formula>NOT(ISERROR(SEARCH("Pendente",R17)))</formula>
    </cfRule>
    <cfRule type="containsText" dxfId="43" priority="36" operator="containsText" text="Pago">
      <formula>NOT(ISERROR(SEARCH("Pago",R17)))</formula>
    </cfRule>
  </conditionalFormatting>
  <conditionalFormatting sqref="Q30:Q42">
    <cfRule type="containsText" dxfId="42" priority="29" operator="containsText" text="Cash">
      <formula>NOT(ISERROR(SEARCH("Cash",Q30)))</formula>
    </cfRule>
    <cfRule type="containsText" dxfId="41" priority="30" operator="containsText" text="Conta Corrente">
      <formula>NOT(ISERROR(SEARCH("Conta Corrente",Q30)))</formula>
    </cfRule>
  </conditionalFormatting>
  <conditionalFormatting sqref="R30:R42">
    <cfRule type="containsText" dxfId="40" priority="31" operator="containsText" text="Pendente">
      <formula>NOT(ISERROR(SEARCH("Pendente",R30)))</formula>
    </cfRule>
    <cfRule type="containsText" dxfId="39" priority="32" operator="containsText" text="Pago">
      <formula>NOT(ISERROR(SEARCH("Pago",R30)))</formula>
    </cfRule>
  </conditionalFormatting>
  <conditionalFormatting sqref="Q43:Q55">
    <cfRule type="containsText" dxfId="38" priority="25" operator="containsText" text="Cash">
      <formula>NOT(ISERROR(SEARCH("Cash",Q43)))</formula>
    </cfRule>
    <cfRule type="containsText" dxfId="37" priority="26" operator="containsText" text="Conta Corrente">
      <formula>NOT(ISERROR(SEARCH("Conta Corrente",Q43)))</formula>
    </cfRule>
  </conditionalFormatting>
  <conditionalFormatting sqref="R43:R55">
    <cfRule type="containsText" dxfId="36" priority="27" operator="containsText" text="Pendente">
      <formula>NOT(ISERROR(SEARCH("Pendente",R43)))</formula>
    </cfRule>
    <cfRule type="containsText" dxfId="35" priority="28" operator="containsText" text="Pago">
      <formula>NOT(ISERROR(SEARCH("Pago",R43)))</formula>
    </cfRule>
  </conditionalFormatting>
  <conditionalFormatting sqref="Q56:Q68">
    <cfRule type="containsText" dxfId="34" priority="21" operator="containsText" text="Cash">
      <formula>NOT(ISERROR(SEARCH("Cash",Q56)))</formula>
    </cfRule>
    <cfRule type="containsText" dxfId="33" priority="22" operator="containsText" text="Conta Corrente">
      <formula>NOT(ISERROR(SEARCH("Conta Corrente",Q56)))</formula>
    </cfRule>
  </conditionalFormatting>
  <conditionalFormatting sqref="R56:R68">
    <cfRule type="containsText" dxfId="32" priority="23" operator="containsText" text="Pendente">
      <formula>NOT(ISERROR(SEARCH("Pendente",R56)))</formula>
    </cfRule>
    <cfRule type="containsText" dxfId="31" priority="24" operator="containsText" text="Pago">
      <formula>NOT(ISERROR(SEARCH("Pago",R56)))</formula>
    </cfRule>
  </conditionalFormatting>
  <conditionalFormatting sqref="Q69:Q81">
    <cfRule type="containsText" dxfId="30" priority="17" operator="containsText" text="Cash">
      <formula>NOT(ISERROR(SEARCH("Cash",Q69)))</formula>
    </cfRule>
    <cfRule type="containsText" dxfId="29" priority="18" operator="containsText" text="Conta Corrente">
      <formula>NOT(ISERROR(SEARCH("Conta Corrente",Q69)))</formula>
    </cfRule>
  </conditionalFormatting>
  <conditionalFormatting sqref="R69:R81">
    <cfRule type="containsText" dxfId="28" priority="19" operator="containsText" text="Pendente">
      <formula>NOT(ISERROR(SEARCH("Pendente",R69)))</formula>
    </cfRule>
    <cfRule type="containsText" dxfId="27" priority="20" operator="containsText" text="Pago">
      <formula>NOT(ISERROR(SEARCH("Pago",R69)))</formula>
    </cfRule>
  </conditionalFormatting>
  <conditionalFormatting sqref="Q82:Q94">
    <cfRule type="containsText" dxfId="26" priority="13" operator="containsText" text="Cash">
      <formula>NOT(ISERROR(SEARCH("Cash",Q82)))</formula>
    </cfRule>
    <cfRule type="containsText" dxfId="25" priority="14" operator="containsText" text="Conta Corrente">
      <formula>NOT(ISERROR(SEARCH("Conta Corrente",Q82)))</formula>
    </cfRule>
  </conditionalFormatting>
  <conditionalFormatting sqref="R82:R94">
    <cfRule type="containsText" dxfId="24" priority="15" operator="containsText" text="Pendente">
      <formula>NOT(ISERROR(SEARCH("Pendente",R82)))</formula>
    </cfRule>
    <cfRule type="containsText" dxfId="23" priority="16" operator="containsText" text="Pago">
      <formula>NOT(ISERROR(SEARCH("Pago",R82)))</formula>
    </cfRule>
  </conditionalFormatting>
  <conditionalFormatting sqref="Q95:Q107">
    <cfRule type="containsText" dxfId="22" priority="9" operator="containsText" text="Cash">
      <formula>NOT(ISERROR(SEARCH("Cash",Q95)))</formula>
    </cfRule>
    <cfRule type="containsText" dxfId="21" priority="10" operator="containsText" text="Conta Corrente">
      <formula>NOT(ISERROR(SEARCH("Conta Corrente",Q95)))</formula>
    </cfRule>
  </conditionalFormatting>
  <conditionalFormatting sqref="R95:R107">
    <cfRule type="containsText" dxfId="20" priority="11" operator="containsText" text="Pendente">
      <formula>NOT(ISERROR(SEARCH("Pendente",R95)))</formula>
    </cfRule>
    <cfRule type="containsText" dxfId="19" priority="12" operator="containsText" text="Pago">
      <formula>NOT(ISERROR(SEARCH("Pago",R95)))</formula>
    </cfRule>
  </conditionalFormatting>
  <conditionalFormatting sqref="Q108:Q120">
    <cfRule type="containsText" dxfId="18" priority="5" operator="containsText" text="Cash">
      <formula>NOT(ISERROR(SEARCH("Cash",Q108)))</formula>
    </cfRule>
    <cfRule type="containsText" dxfId="17" priority="6" operator="containsText" text="Conta Corrente">
      <formula>NOT(ISERROR(SEARCH("Conta Corrente",Q108)))</formula>
    </cfRule>
  </conditionalFormatting>
  <conditionalFormatting sqref="R108:R120">
    <cfRule type="containsText" dxfId="16" priority="7" operator="containsText" text="Pendente">
      <formula>NOT(ISERROR(SEARCH("Pendente",R108)))</formula>
    </cfRule>
    <cfRule type="containsText" dxfId="15" priority="8" operator="containsText" text="Pago">
      <formula>NOT(ISERROR(SEARCH("Pago",R108)))</formula>
    </cfRule>
  </conditionalFormatting>
  <conditionalFormatting sqref="Q121:Q133">
    <cfRule type="containsText" dxfId="14" priority="1" operator="containsText" text="Cash">
      <formula>NOT(ISERROR(SEARCH("Cash",Q121)))</formula>
    </cfRule>
    <cfRule type="containsText" dxfId="13" priority="2" operator="containsText" text="Conta Corrente">
      <formula>NOT(ISERROR(SEARCH("Conta Corrente",Q121)))</formula>
    </cfRule>
  </conditionalFormatting>
  <conditionalFormatting sqref="R121:R133">
    <cfRule type="containsText" dxfId="12" priority="3" operator="containsText" text="Pendente">
      <formula>NOT(ISERROR(SEARCH("Pendente",R121)))</formula>
    </cfRule>
    <cfRule type="containsText" dxfId="11" priority="4" operator="containsText" text="Pago">
      <formula>NOT(ISERROR(SEARCH("Pago",R121)))</formula>
    </cfRule>
  </conditionalFormatting>
  <pageMargins left="0.511811024" right="0.511811024" top="0.78740157499999996" bottom="0.78740157499999996" header="0.31496062000000002" footer="0.31496062000000002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F97B3809-CAF1-45F2-A480-DF5D44B373F0}">
          <x14:formula1>
            <xm:f>Apoio!$M$4:$M$6</xm:f>
          </x14:formula1>
          <xm:sqref>F4:F133</xm:sqref>
        </x14:dataValidation>
        <x14:dataValidation type="list" allowBlank="1" showInputMessage="1" showErrorMessage="1" xr:uid="{8B1ACDEC-7152-4E31-B75A-0370FFEFE9B8}">
          <x14:formula1>
            <xm:f>Apoio!$C$5:$C$9</xm:f>
          </x14:formula1>
          <xm:sqref>B4:B133</xm:sqref>
        </x14:dataValidation>
        <x14:dataValidation type="list" allowBlank="1" showInputMessage="1" showErrorMessage="1" xr:uid="{AF9B9175-5EDD-4AD1-BDC5-568110812550}">
          <x14:formula1>
            <xm:f>Base_Cliente_Full!$A$2:$A$50</xm:f>
          </x14:formula1>
          <xm:sqref>N4:N133</xm:sqref>
        </x14:dataValidation>
        <x14:dataValidation type="list" allowBlank="1" showInputMessage="1" showErrorMessage="1" xr:uid="{949FEE73-C7F2-46F7-BDD2-3D9A073DFD90}">
          <x14:formula1>
            <xm:f>Apoio!$I$4:$I$5</xm:f>
          </x14:formula1>
          <xm:sqref>O4:O133</xm:sqref>
        </x14:dataValidation>
        <x14:dataValidation type="list" allowBlank="1" showInputMessage="1" showErrorMessage="1" xr:uid="{72628CC3-BD31-44E1-8EE6-01423D786FE4}">
          <x14:formula1>
            <xm:f>Apoio!$K$4:$K$5</xm:f>
          </x14:formula1>
          <xm:sqref>Q4:Q133</xm:sqref>
        </x14:dataValidation>
        <x14:dataValidation type="list" allowBlank="1" showInputMessage="1" showErrorMessage="1" xr:uid="{F456224C-45A8-4A74-A3B0-72DE942755A5}">
          <x14:formula1>
            <xm:f>Apoio!$O$4:$O$5</xm:f>
          </x14:formula1>
          <xm:sqref>R4:R133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theme="4" tint="0.39997558519241921"/>
  </sheetPr>
  <dimension ref="A1:J50"/>
  <sheetViews>
    <sheetView showGridLines="0" workbookViewId="0">
      <selection activeCell="D18" sqref="A16:D18"/>
    </sheetView>
  </sheetViews>
  <sheetFormatPr defaultRowHeight="15" x14ac:dyDescent="0.25"/>
  <cols>
    <col min="1" max="1" width="15.28515625" bestFit="1" customWidth="1"/>
    <col min="2" max="2" width="16.5703125" style="4" bestFit="1" customWidth="1"/>
    <col min="3" max="3" width="19" style="3" customWidth="1"/>
    <col min="4" max="4" width="30.28515625" style="3" bestFit="1" customWidth="1"/>
    <col min="5" max="5" width="9.140625" style="3"/>
    <col min="6" max="6" width="12.7109375" style="3" bestFit="1" customWidth="1"/>
    <col min="7" max="7" width="21.85546875" style="3" bestFit="1" customWidth="1"/>
    <col min="8" max="8" width="27.7109375" bestFit="1" customWidth="1"/>
    <col min="9" max="9" width="45.140625" style="3" bestFit="1" customWidth="1"/>
    <col min="10" max="10" width="52.85546875" style="3" bestFit="1" customWidth="1"/>
  </cols>
  <sheetData>
    <row r="1" spans="1:10" x14ac:dyDescent="0.25">
      <c r="A1" s="19" t="s">
        <v>0</v>
      </c>
      <c r="B1" s="19" t="s">
        <v>1</v>
      </c>
      <c r="C1" s="19" t="s">
        <v>2</v>
      </c>
      <c r="D1" s="19" t="s">
        <v>3</v>
      </c>
      <c r="E1" s="20" t="s">
        <v>6</v>
      </c>
      <c r="F1" s="21" t="s">
        <v>17</v>
      </c>
      <c r="G1" s="21" t="s">
        <v>9</v>
      </c>
      <c r="H1" s="21" t="s">
        <v>15</v>
      </c>
      <c r="I1" s="22" t="s">
        <v>12</v>
      </c>
      <c r="J1" s="22" t="s">
        <v>14</v>
      </c>
    </row>
    <row r="2" spans="1:10" x14ac:dyDescent="0.25">
      <c r="A2" s="23" t="s">
        <v>26</v>
      </c>
      <c r="B2" s="24">
        <v>5511123475678</v>
      </c>
      <c r="C2" s="25" t="s">
        <v>4</v>
      </c>
      <c r="D2" s="26" t="s">
        <v>5</v>
      </c>
      <c r="E2" s="27" t="s">
        <v>7</v>
      </c>
      <c r="F2" s="27" t="s">
        <v>18</v>
      </c>
      <c r="G2" s="27"/>
      <c r="H2" s="28">
        <v>3</v>
      </c>
      <c r="I2" s="26" t="s">
        <v>10</v>
      </c>
      <c r="J2" s="26" t="s">
        <v>13</v>
      </c>
    </row>
    <row r="3" spans="1:10" x14ac:dyDescent="0.25">
      <c r="A3" s="23" t="s">
        <v>27</v>
      </c>
      <c r="B3" s="24">
        <v>5511234578910</v>
      </c>
      <c r="C3" s="25" t="s">
        <v>28</v>
      </c>
      <c r="D3" s="26" t="s">
        <v>29</v>
      </c>
      <c r="E3" s="27" t="s">
        <v>7</v>
      </c>
      <c r="F3" s="27" t="s">
        <v>19</v>
      </c>
      <c r="G3" s="27">
        <v>1234</v>
      </c>
      <c r="H3" s="28">
        <v>2</v>
      </c>
      <c r="I3" s="26" t="s">
        <v>11</v>
      </c>
      <c r="J3" s="26" t="s">
        <v>30</v>
      </c>
    </row>
    <row r="4" spans="1:10" x14ac:dyDescent="0.25">
      <c r="A4" s="23" t="s">
        <v>31</v>
      </c>
      <c r="B4" s="24">
        <v>5548123457897</v>
      </c>
      <c r="C4" s="25" t="s">
        <v>32</v>
      </c>
      <c r="D4" s="26" t="s">
        <v>33</v>
      </c>
      <c r="E4" s="27" t="s">
        <v>7</v>
      </c>
      <c r="F4" s="27" t="s">
        <v>20</v>
      </c>
      <c r="G4" s="27">
        <v>77744</v>
      </c>
      <c r="H4" s="28">
        <v>5</v>
      </c>
      <c r="I4" s="26" t="s">
        <v>34</v>
      </c>
      <c r="J4" s="26"/>
    </row>
    <row r="5" spans="1:10" x14ac:dyDescent="0.25">
      <c r="A5" s="23" t="s">
        <v>27</v>
      </c>
      <c r="B5" s="24">
        <v>5511234578910</v>
      </c>
      <c r="C5" s="25" t="s">
        <v>28</v>
      </c>
      <c r="D5" s="26" t="s">
        <v>29</v>
      </c>
      <c r="E5" s="27" t="s">
        <v>7</v>
      </c>
      <c r="F5" s="27" t="s">
        <v>43</v>
      </c>
      <c r="G5" s="27"/>
      <c r="H5" s="28">
        <v>0.4</v>
      </c>
      <c r="I5" s="26" t="s">
        <v>11</v>
      </c>
      <c r="J5" s="26"/>
    </row>
    <row r="6" spans="1:10" x14ac:dyDescent="0.25">
      <c r="A6" s="23" t="s">
        <v>57</v>
      </c>
      <c r="B6" s="24">
        <v>5511123475678</v>
      </c>
      <c r="C6" s="25" t="s">
        <v>4</v>
      </c>
      <c r="D6" s="26" t="s">
        <v>5</v>
      </c>
      <c r="E6" s="27" t="s">
        <v>7</v>
      </c>
      <c r="F6" s="27" t="s">
        <v>18</v>
      </c>
      <c r="G6" s="27"/>
      <c r="H6" s="28">
        <v>3</v>
      </c>
      <c r="I6" s="26" t="s">
        <v>10</v>
      </c>
      <c r="J6" s="26" t="s">
        <v>13</v>
      </c>
    </row>
    <row r="7" spans="1:10" x14ac:dyDescent="0.25">
      <c r="A7" s="23" t="s">
        <v>58</v>
      </c>
      <c r="B7" s="24">
        <v>5511234578910</v>
      </c>
      <c r="C7" s="25" t="s">
        <v>28</v>
      </c>
      <c r="D7" s="26" t="s">
        <v>29</v>
      </c>
      <c r="E7" s="27" t="s">
        <v>7</v>
      </c>
      <c r="F7" s="27" t="s">
        <v>19</v>
      </c>
      <c r="G7" s="27">
        <v>1234</v>
      </c>
      <c r="H7" s="28">
        <v>2</v>
      </c>
      <c r="I7" s="26" t="s">
        <v>11</v>
      </c>
      <c r="J7" s="26" t="s">
        <v>30</v>
      </c>
    </row>
    <row r="8" spans="1:10" x14ac:dyDescent="0.25">
      <c r="A8" s="23" t="s">
        <v>52</v>
      </c>
      <c r="B8" s="24">
        <v>5548123457897</v>
      </c>
      <c r="C8" s="25" t="s">
        <v>32</v>
      </c>
      <c r="D8" s="26" t="s">
        <v>33</v>
      </c>
      <c r="E8" s="27" t="s">
        <v>7</v>
      </c>
      <c r="F8" s="27" t="s">
        <v>20</v>
      </c>
      <c r="G8" s="27">
        <v>77744</v>
      </c>
      <c r="H8" s="28">
        <v>5</v>
      </c>
      <c r="I8" s="26" t="s">
        <v>34</v>
      </c>
      <c r="J8" s="26"/>
    </row>
    <row r="9" spans="1:10" x14ac:dyDescent="0.25">
      <c r="A9" s="23" t="s">
        <v>52</v>
      </c>
      <c r="B9" s="24">
        <v>5511234578910</v>
      </c>
      <c r="C9" s="25" t="s">
        <v>28</v>
      </c>
      <c r="D9" s="26" t="s">
        <v>29</v>
      </c>
      <c r="E9" s="27" t="s">
        <v>7</v>
      </c>
      <c r="F9" s="27" t="s">
        <v>43</v>
      </c>
      <c r="G9" s="27"/>
      <c r="H9" s="28">
        <v>0.4</v>
      </c>
      <c r="I9" s="26" t="s">
        <v>11</v>
      </c>
      <c r="J9" s="26"/>
    </row>
    <row r="10" spans="1:10" x14ac:dyDescent="0.25">
      <c r="A10" s="23" t="s">
        <v>53</v>
      </c>
      <c r="B10" s="24">
        <v>5548123457897</v>
      </c>
      <c r="C10" s="25" t="s">
        <v>32</v>
      </c>
      <c r="D10" s="26" t="s">
        <v>33</v>
      </c>
      <c r="E10" s="27" t="s">
        <v>7</v>
      </c>
      <c r="F10" s="27" t="s">
        <v>20</v>
      </c>
      <c r="G10" s="27">
        <v>77744</v>
      </c>
      <c r="H10" s="28">
        <v>5</v>
      </c>
      <c r="I10" s="26" t="s">
        <v>34</v>
      </c>
      <c r="J10" s="26"/>
    </row>
    <row r="11" spans="1:10" x14ac:dyDescent="0.25">
      <c r="A11" s="23" t="s">
        <v>54</v>
      </c>
      <c r="B11" s="24">
        <v>5511234578910</v>
      </c>
      <c r="C11" s="25" t="s">
        <v>28</v>
      </c>
      <c r="D11" s="26" t="s">
        <v>29</v>
      </c>
      <c r="E11" s="27" t="s">
        <v>7</v>
      </c>
      <c r="F11" s="27" t="s">
        <v>43</v>
      </c>
      <c r="G11" s="27"/>
      <c r="H11" s="28">
        <v>0.4</v>
      </c>
      <c r="I11" s="26" t="s">
        <v>11</v>
      </c>
      <c r="J11" s="26"/>
    </row>
    <row r="12" spans="1:10" x14ac:dyDescent="0.25">
      <c r="A12" s="23" t="s">
        <v>76</v>
      </c>
      <c r="B12" s="24">
        <v>5511123475678</v>
      </c>
      <c r="C12" s="25" t="s">
        <v>4</v>
      </c>
      <c r="D12" s="26" t="s">
        <v>5</v>
      </c>
      <c r="E12" s="27" t="s">
        <v>7</v>
      </c>
      <c r="F12" s="27" t="s">
        <v>18</v>
      </c>
      <c r="G12" s="27"/>
      <c r="H12" s="28">
        <v>3</v>
      </c>
      <c r="I12" s="26" t="s">
        <v>10</v>
      </c>
      <c r="J12" s="26" t="s">
        <v>13</v>
      </c>
    </row>
    <row r="13" spans="1:10" x14ac:dyDescent="0.25">
      <c r="A13" s="23" t="s">
        <v>77</v>
      </c>
      <c r="B13" s="24">
        <v>5511234578910</v>
      </c>
      <c r="C13" s="25" t="s">
        <v>28</v>
      </c>
      <c r="D13" s="26" t="s">
        <v>29</v>
      </c>
      <c r="E13" s="27" t="s">
        <v>7</v>
      </c>
      <c r="F13" s="27" t="s">
        <v>19</v>
      </c>
      <c r="G13" s="27">
        <v>1234</v>
      </c>
      <c r="H13" s="28">
        <v>2</v>
      </c>
      <c r="I13" s="26" t="s">
        <v>11</v>
      </c>
      <c r="J13" s="26" t="s">
        <v>30</v>
      </c>
    </row>
    <row r="14" spans="1:10" x14ac:dyDescent="0.25">
      <c r="A14" s="23" t="s">
        <v>78</v>
      </c>
      <c r="B14" s="24">
        <v>5548123457897</v>
      </c>
      <c r="C14" s="25" t="s">
        <v>32</v>
      </c>
      <c r="D14" s="26" t="s">
        <v>33</v>
      </c>
      <c r="E14" s="27" t="s">
        <v>7</v>
      </c>
      <c r="F14" s="27" t="s">
        <v>20</v>
      </c>
      <c r="G14" s="27">
        <v>77744</v>
      </c>
      <c r="H14" s="28">
        <v>5</v>
      </c>
      <c r="I14" s="26" t="s">
        <v>34</v>
      </c>
      <c r="J14" s="26"/>
    </row>
    <row r="15" spans="1:10" x14ac:dyDescent="0.25">
      <c r="A15" s="23" t="s">
        <v>79</v>
      </c>
      <c r="B15" s="24">
        <v>5511234578910</v>
      </c>
      <c r="C15" s="25" t="s">
        <v>28</v>
      </c>
      <c r="D15" s="26" t="s">
        <v>29</v>
      </c>
      <c r="E15" s="27" t="s">
        <v>7</v>
      </c>
      <c r="F15" s="27" t="s">
        <v>43</v>
      </c>
      <c r="G15" s="27"/>
      <c r="H15" s="28">
        <v>0.4</v>
      </c>
      <c r="I15" s="26" t="s">
        <v>11</v>
      </c>
      <c r="J15" s="26"/>
    </row>
    <row r="16" spans="1:10" x14ac:dyDescent="0.25">
      <c r="A16" s="23" t="s">
        <v>80</v>
      </c>
      <c r="B16" s="24">
        <v>5511123475678</v>
      </c>
      <c r="C16" s="25" t="s">
        <v>4</v>
      </c>
      <c r="D16" s="26" t="s">
        <v>5</v>
      </c>
      <c r="E16" s="27" t="s">
        <v>7</v>
      </c>
      <c r="F16" s="27" t="s">
        <v>18</v>
      </c>
      <c r="G16" s="27"/>
      <c r="H16" s="28">
        <v>3</v>
      </c>
      <c r="I16" s="26" t="s">
        <v>10</v>
      </c>
      <c r="J16" s="26" t="s">
        <v>13</v>
      </c>
    </row>
    <row r="17" spans="1:10" x14ac:dyDescent="0.25">
      <c r="A17" s="23" t="s">
        <v>81</v>
      </c>
      <c r="B17" s="24">
        <v>5511234578910</v>
      </c>
      <c r="C17" s="25" t="s">
        <v>28</v>
      </c>
      <c r="D17" s="26" t="s">
        <v>29</v>
      </c>
      <c r="E17" s="27" t="s">
        <v>7</v>
      </c>
      <c r="F17" s="27" t="s">
        <v>19</v>
      </c>
      <c r="G17" s="27">
        <v>1234</v>
      </c>
      <c r="H17" s="28">
        <v>2</v>
      </c>
      <c r="I17" s="26" t="s">
        <v>11</v>
      </c>
      <c r="J17" s="26" t="s">
        <v>30</v>
      </c>
    </row>
    <row r="18" spans="1:10" x14ac:dyDescent="0.25">
      <c r="A18" s="23" t="s">
        <v>82</v>
      </c>
      <c r="B18" s="24">
        <v>5548123457897</v>
      </c>
      <c r="C18" s="25" t="s">
        <v>32</v>
      </c>
      <c r="D18" s="26" t="s">
        <v>33</v>
      </c>
      <c r="E18" s="27" t="s">
        <v>7</v>
      </c>
      <c r="F18" s="27" t="s">
        <v>20</v>
      </c>
      <c r="G18" s="27">
        <v>77744</v>
      </c>
      <c r="H18" s="28">
        <v>5</v>
      </c>
      <c r="I18" s="26" t="s">
        <v>34</v>
      </c>
      <c r="J18" s="26"/>
    </row>
    <row r="19" spans="1:10" x14ac:dyDescent="0.25">
      <c r="A19" s="23" t="s">
        <v>83</v>
      </c>
      <c r="B19" s="24">
        <v>5511234578910</v>
      </c>
      <c r="C19" s="25" t="s">
        <v>28</v>
      </c>
      <c r="D19" s="26" t="s">
        <v>29</v>
      </c>
      <c r="E19" s="27" t="s">
        <v>7</v>
      </c>
      <c r="F19" s="27" t="s">
        <v>43</v>
      </c>
      <c r="G19" s="27"/>
      <c r="H19" s="28">
        <v>0.4</v>
      </c>
      <c r="I19" s="26" t="s">
        <v>11</v>
      </c>
      <c r="J19" s="26"/>
    </row>
    <row r="20" spans="1:10" x14ac:dyDescent="0.25">
      <c r="A20" s="23" t="s">
        <v>84</v>
      </c>
      <c r="B20" s="24">
        <v>5548123457897</v>
      </c>
      <c r="C20" s="25" t="s">
        <v>32</v>
      </c>
      <c r="D20" s="26" t="s">
        <v>33</v>
      </c>
      <c r="E20" s="27" t="s">
        <v>7</v>
      </c>
      <c r="F20" s="27" t="s">
        <v>20</v>
      </c>
      <c r="G20" s="27">
        <v>77744</v>
      </c>
      <c r="H20" s="28">
        <v>5</v>
      </c>
      <c r="I20" s="26" t="s">
        <v>34</v>
      </c>
      <c r="J20" s="26"/>
    </row>
    <row r="21" spans="1:10" x14ac:dyDescent="0.25">
      <c r="A21" s="23" t="s">
        <v>85</v>
      </c>
      <c r="B21" s="24">
        <v>5511234578910</v>
      </c>
      <c r="C21" s="25" t="s">
        <v>28</v>
      </c>
      <c r="D21" s="26" t="s">
        <v>29</v>
      </c>
      <c r="E21" s="27" t="s">
        <v>7</v>
      </c>
      <c r="F21" s="27" t="s">
        <v>43</v>
      </c>
      <c r="G21" s="27"/>
      <c r="H21" s="28">
        <v>0.4</v>
      </c>
      <c r="I21" s="26" t="s">
        <v>11</v>
      </c>
      <c r="J21" s="26"/>
    </row>
    <row r="22" spans="1:10" x14ac:dyDescent="0.25">
      <c r="A22" s="23"/>
      <c r="B22" s="24"/>
      <c r="C22" s="26"/>
      <c r="D22" s="26"/>
      <c r="E22" s="26"/>
      <c r="F22" s="26"/>
      <c r="G22" s="26"/>
      <c r="H22" s="23"/>
      <c r="I22" s="26"/>
      <c r="J22" s="26"/>
    </row>
    <row r="23" spans="1:10" x14ac:dyDescent="0.25">
      <c r="A23" s="23"/>
      <c r="B23" s="24"/>
      <c r="C23" s="26"/>
      <c r="D23" s="26"/>
      <c r="E23" s="26"/>
      <c r="F23" s="26"/>
      <c r="G23" s="26"/>
      <c r="H23" s="23"/>
      <c r="I23" s="26"/>
      <c r="J23" s="26"/>
    </row>
    <row r="24" spans="1:10" x14ac:dyDescent="0.25">
      <c r="A24" s="23"/>
      <c r="B24" s="24"/>
      <c r="C24" s="26"/>
      <c r="D24" s="26"/>
      <c r="E24" s="26"/>
      <c r="F24" s="26"/>
      <c r="G24" s="26"/>
      <c r="H24" s="23"/>
      <c r="I24" s="26"/>
      <c r="J24" s="26"/>
    </row>
    <row r="25" spans="1:10" x14ac:dyDescent="0.25">
      <c r="A25" s="23"/>
      <c r="B25" s="24"/>
      <c r="C25" s="26"/>
      <c r="D25" s="26"/>
      <c r="E25" s="26"/>
      <c r="F25" s="26"/>
      <c r="G25" s="26"/>
      <c r="H25" s="23"/>
      <c r="I25" s="26"/>
      <c r="J25" s="26"/>
    </row>
    <row r="26" spans="1:10" x14ac:dyDescent="0.25">
      <c r="A26" s="23"/>
      <c r="B26" s="24"/>
      <c r="C26" s="26"/>
      <c r="D26" s="26"/>
      <c r="E26" s="26"/>
      <c r="F26" s="26"/>
      <c r="G26" s="26"/>
      <c r="H26" s="23"/>
      <c r="I26" s="26"/>
      <c r="J26" s="26"/>
    </row>
    <row r="27" spans="1:10" x14ac:dyDescent="0.25">
      <c r="A27" s="23"/>
      <c r="B27" s="24"/>
      <c r="C27" s="26"/>
      <c r="D27" s="26"/>
      <c r="E27" s="26"/>
      <c r="F27" s="26"/>
      <c r="G27" s="26"/>
      <c r="H27" s="23"/>
      <c r="I27" s="26"/>
      <c r="J27" s="26"/>
    </row>
    <row r="28" spans="1:10" x14ac:dyDescent="0.25">
      <c r="A28" s="23"/>
      <c r="B28" s="24"/>
      <c r="C28" s="26"/>
      <c r="D28" s="26"/>
      <c r="E28" s="26"/>
      <c r="F28" s="26"/>
      <c r="G28" s="26"/>
      <c r="H28" s="23"/>
      <c r="I28" s="26"/>
      <c r="J28" s="26"/>
    </row>
    <row r="29" spans="1:10" x14ac:dyDescent="0.25">
      <c r="A29" s="23"/>
      <c r="B29" s="24"/>
      <c r="C29" s="26"/>
      <c r="D29" s="26"/>
      <c r="E29" s="26"/>
      <c r="F29" s="26"/>
      <c r="G29" s="26"/>
      <c r="H29" s="23"/>
      <c r="I29" s="26"/>
      <c r="J29" s="26"/>
    </row>
    <row r="30" spans="1:10" x14ac:dyDescent="0.25">
      <c r="A30" s="23"/>
      <c r="B30" s="24"/>
      <c r="C30" s="26"/>
      <c r="D30" s="26"/>
      <c r="E30" s="26"/>
      <c r="F30" s="26"/>
      <c r="G30" s="26"/>
      <c r="H30" s="23"/>
      <c r="I30" s="26"/>
      <c r="J30" s="26"/>
    </row>
    <row r="31" spans="1:10" x14ac:dyDescent="0.25">
      <c r="A31" s="23"/>
      <c r="B31" s="24"/>
      <c r="C31" s="26"/>
      <c r="D31" s="26"/>
      <c r="E31" s="26"/>
      <c r="F31" s="26"/>
      <c r="G31" s="26"/>
      <c r="H31" s="23"/>
      <c r="I31" s="26"/>
      <c r="J31" s="26"/>
    </row>
    <row r="32" spans="1:10" x14ac:dyDescent="0.25">
      <c r="A32" s="23"/>
      <c r="B32" s="24"/>
      <c r="C32" s="26"/>
      <c r="D32" s="26"/>
      <c r="E32" s="26"/>
      <c r="F32" s="26"/>
      <c r="G32" s="26"/>
      <c r="H32" s="23"/>
      <c r="I32" s="26"/>
      <c r="J32" s="26"/>
    </row>
    <row r="33" spans="1:10" x14ac:dyDescent="0.25">
      <c r="A33" s="23"/>
      <c r="B33" s="24"/>
      <c r="C33" s="26"/>
      <c r="D33" s="26"/>
      <c r="E33" s="26"/>
      <c r="F33" s="26"/>
      <c r="G33" s="26"/>
      <c r="H33" s="23"/>
      <c r="I33" s="26"/>
      <c r="J33" s="26"/>
    </row>
    <row r="34" spans="1:10" x14ac:dyDescent="0.25">
      <c r="A34" s="23"/>
      <c r="B34" s="24"/>
      <c r="C34" s="26"/>
      <c r="D34" s="26"/>
      <c r="E34" s="26"/>
      <c r="F34" s="26"/>
      <c r="G34" s="26"/>
      <c r="H34" s="23"/>
      <c r="I34" s="26"/>
      <c r="J34" s="26"/>
    </row>
    <row r="35" spans="1:10" x14ac:dyDescent="0.25">
      <c r="A35" s="23"/>
      <c r="B35" s="24"/>
      <c r="C35" s="26"/>
      <c r="D35" s="26"/>
      <c r="E35" s="26"/>
      <c r="F35" s="26"/>
      <c r="G35" s="26"/>
      <c r="H35" s="23"/>
      <c r="I35" s="26"/>
      <c r="J35" s="26"/>
    </row>
    <row r="36" spans="1:10" x14ac:dyDescent="0.25">
      <c r="A36" s="23"/>
      <c r="B36" s="24"/>
      <c r="C36" s="26"/>
      <c r="D36" s="26"/>
      <c r="E36" s="26"/>
      <c r="F36" s="26"/>
      <c r="G36" s="26"/>
      <c r="H36" s="23"/>
      <c r="I36" s="26"/>
      <c r="J36" s="26"/>
    </row>
    <row r="37" spans="1:10" x14ac:dyDescent="0.25">
      <c r="A37" s="23"/>
      <c r="B37" s="24"/>
      <c r="C37" s="26"/>
      <c r="D37" s="26"/>
      <c r="E37" s="26"/>
      <c r="F37" s="26"/>
      <c r="G37" s="26"/>
      <c r="H37" s="23"/>
      <c r="I37" s="26"/>
      <c r="J37" s="26"/>
    </row>
    <row r="38" spans="1:10" x14ac:dyDescent="0.25">
      <c r="A38" s="23"/>
      <c r="B38" s="24"/>
      <c r="C38" s="26"/>
      <c r="D38" s="26"/>
      <c r="E38" s="26"/>
      <c r="F38" s="26"/>
      <c r="G38" s="26"/>
      <c r="H38" s="23"/>
      <c r="I38" s="26"/>
      <c r="J38" s="26"/>
    </row>
    <row r="39" spans="1:10" x14ac:dyDescent="0.25">
      <c r="A39" s="23"/>
      <c r="B39" s="24"/>
      <c r="C39" s="26"/>
      <c r="D39" s="26"/>
      <c r="E39" s="26"/>
      <c r="F39" s="26"/>
      <c r="G39" s="26"/>
      <c r="H39" s="23"/>
      <c r="I39" s="26"/>
      <c r="J39" s="26"/>
    </row>
    <row r="40" spans="1:10" x14ac:dyDescent="0.25">
      <c r="A40" s="23"/>
      <c r="B40" s="24"/>
      <c r="C40" s="26"/>
      <c r="D40" s="26"/>
      <c r="E40" s="26"/>
      <c r="F40" s="26"/>
      <c r="G40" s="26"/>
      <c r="H40" s="23"/>
      <c r="I40" s="26"/>
      <c r="J40" s="26"/>
    </row>
    <row r="41" spans="1:10" x14ac:dyDescent="0.25">
      <c r="A41" s="23"/>
      <c r="B41" s="24"/>
      <c r="C41" s="26"/>
      <c r="D41" s="26"/>
      <c r="E41" s="26"/>
      <c r="F41" s="26"/>
      <c r="G41" s="26"/>
      <c r="H41" s="23"/>
      <c r="I41" s="26"/>
      <c r="J41" s="26"/>
    </row>
    <row r="42" spans="1:10" x14ac:dyDescent="0.25">
      <c r="A42" s="23"/>
      <c r="B42" s="24"/>
      <c r="C42" s="26"/>
      <c r="D42" s="26"/>
      <c r="E42" s="26"/>
      <c r="F42" s="26"/>
      <c r="G42" s="26"/>
      <c r="H42" s="23"/>
      <c r="I42" s="26"/>
      <c r="J42" s="26"/>
    </row>
    <row r="43" spans="1:10" x14ac:dyDescent="0.25">
      <c r="A43" s="23"/>
      <c r="B43" s="24"/>
      <c r="C43" s="26"/>
      <c r="D43" s="26"/>
      <c r="E43" s="26"/>
      <c r="F43" s="26"/>
      <c r="G43" s="26"/>
      <c r="H43" s="23"/>
      <c r="I43" s="26"/>
      <c r="J43" s="26"/>
    </row>
    <row r="44" spans="1:10" x14ac:dyDescent="0.25">
      <c r="A44" s="23"/>
      <c r="B44" s="24"/>
      <c r="C44" s="26"/>
      <c r="D44" s="26"/>
      <c r="E44" s="26"/>
      <c r="F44" s="26"/>
      <c r="G44" s="26"/>
      <c r="H44" s="23"/>
      <c r="I44" s="26"/>
      <c r="J44" s="26"/>
    </row>
    <row r="45" spans="1:10" x14ac:dyDescent="0.25">
      <c r="A45" s="23"/>
      <c r="B45" s="24"/>
      <c r="C45" s="26"/>
      <c r="D45" s="26"/>
      <c r="E45" s="26"/>
      <c r="F45" s="26"/>
      <c r="G45" s="26"/>
      <c r="H45" s="23"/>
      <c r="I45" s="26"/>
      <c r="J45" s="26"/>
    </row>
    <row r="46" spans="1:10" x14ac:dyDescent="0.25">
      <c r="A46" s="23"/>
      <c r="B46" s="24"/>
      <c r="C46" s="26"/>
      <c r="D46" s="26"/>
      <c r="E46" s="26"/>
      <c r="F46" s="26"/>
      <c r="G46" s="26"/>
      <c r="H46" s="23"/>
      <c r="I46" s="26"/>
      <c r="J46" s="26"/>
    </row>
    <row r="47" spans="1:10" x14ac:dyDescent="0.25">
      <c r="A47" s="23"/>
      <c r="B47" s="24"/>
      <c r="C47" s="26"/>
      <c r="D47" s="26"/>
      <c r="E47" s="26"/>
      <c r="F47" s="26"/>
      <c r="G47" s="26"/>
      <c r="H47" s="23"/>
      <c r="I47" s="26"/>
      <c r="J47" s="26"/>
    </row>
    <row r="48" spans="1:10" x14ac:dyDescent="0.25">
      <c r="A48" s="23"/>
      <c r="B48" s="24"/>
      <c r="C48" s="26"/>
      <c r="D48" s="26"/>
      <c r="E48" s="26"/>
      <c r="F48" s="26"/>
      <c r="G48" s="26"/>
      <c r="H48" s="23"/>
      <c r="I48" s="26"/>
      <c r="J48" s="26"/>
    </row>
    <row r="49" spans="1:10" x14ac:dyDescent="0.25">
      <c r="A49" s="23"/>
      <c r="B49" s="24"/>
      <c r="C49" s="26"/>
      <c r="D49" s="26"/>
      <c r="E49" s="26"/>
      <c r="F49" s="26"/>
      <c r="G49" s="26"/>
      <c r="H49" s="23"/>
      <c r="I49" s="26"/>
      <c r="J49" s="26"/>
    </row>
    <row r="50" spans="1:10" x14ac:dyDescent="0.25">
      <c r="A50" s="23"/>
      <c r="B50" s="24"/>
      <c r="C50" s="26"/>
      <c r="D50" s="26"/>
      <c r="E50" s="26"/>
      <c r="F50" s="26"/>
      <c r="G50" s="26"/>
      <c r="H50" s="23"/>
      <c r="I50" s="26"/>
      <c r="J50" s="26"/>
    </row>
  </sheetData>
  <autoFilter ref="A1:J1" xr:uid="{00000000-0001-0000-0000-000000000000}"/>
  <hyperlinks>
    <hyperlink ref="C2" r:id="rId1" xr:uid="{0458063D-67CD-4F81-8635-8457371998C5}"/>
    <hyperlink ref="C3" r:id="rId2" xr:uid="{31BC1596-4895-4433-999F-3A5CC3EBBA4F}"/>
    <hyperlink ref="C4" r:id="rId3" xr:uid="{DA6B719C-0F60-4007-AD72-B7B543BCA42E}"/>
    <hyperlink ref="C5" r:id="rId4" xr:uid="{3C6AA801-8539-431D-8F3C-514C5A159AB2}"/>
    <hyperlink ref="C6" r:id="rId5" xr:uid="{0BF74100-B855-4E7C-BBB6-E5F0624A0D63}"/>
    <hyperlink ref="C7" r:id="rId6" xr:uid="{E2AEB2B3-157D-4596-9793-29BCCCF9F389}"/>
    <hyperlink ref="C8" r:id="rId7" xr:uid="{D5E2FBE6-2AA2-4A10-8B3D-252CA9B95868}"/>
    <hyperlink ref="C9" r:id="rId8" xr:uid="{2DB1B566-BAB9-4D65-BAB6-5FE33FDD3D6D}"/>
    <hyperlink ref="C10" r:id="rId9" xr:uid="{48D90C5F-7A3F-4C95-9F36-84575A33CCD8}"/>
    <hyperlink ref="C11" r:id="rId10" xr:uid="{61E88A58-E8D0-4D1E-A178-42CCBD0B31B0}"/>
    <hyperlink ref="C12" r:id="rId11" xr:uid="{646DC5A2-E762-495F-A1C7-9B1674F2293C}"/>
    <hyperlink ref="C13" r:id="rId12" xr:uid="{820A103C-4BA6-4E3A-9DFC-96370659277D}"/>
    <hyperlink ref="C14" r:id="rId13" xr:uid="{8C6ABC10-B5A3-46E7-A5D9-45AFB34F7699}"/>
    <hyperlink ref="C15" r:id="rId14" xr:uid="{8C1E16C3-1A0C-41A9-BB5D-8F67418B8A13}"/>
    <hyperlink ref="C16" r:id="rId15" xr:uid="{75BD0309-97F2-4030-A4C7-54F862AA36AC}"/>
    <hyperlink ref="C17" r:id="rId16" xr:uid="{5113DFFA-80E1-4541-B34B-5648D1C45F82}"/>
    <hyperlink ref="C18" r:id="rId17" xr:uid="{5BFF264A-44FA-4F2D-98B4-A4CBFF5A5BB5}"/>
    <hyperlink ref="C19" r:id="rId18" xr:uid="{33B9CF8F-B099-4714-8498-A8F232547FE6}"/>
    <hyperlink ref="C20" r:id="rId19" xr:uid="{8F2D667A-CDBB-4063-AFCB-C764F5673ADA}"/>
    <hyperlink ref="C21" r:id="rId20" xr:uid="{8602E304-F993-416D-BDD1-2997A3D22563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9860D0-F892-4A9E-B3E3-BD7C40C12CAF}">
  <sheetPr codeName="Planilha5">
    <tabColor rgb="FFFF0000"/>
  </sheetPr>
  <dimension ref="E4:R26"/>
  <sheetViews>
    <sheetView showGridLines="0" zoomScale="55" workbookViewId="0">
      <selection activeCell="E34" sqref="E34"/>
    </sheetView>
  </sheetViews>
  <sheetFormatPr defaultRowHeight="15" x14ac:dyDescent="0.25"/>
  <cols>
    <col min="5" max="5" width="26.140625" bestFit="1" customWidth="1"/>
    <col min="6" max="6" width="30.5703125" bestFit="1" customWidth="1"/>
    <col min="7" max="7" width="13.140625" bestFit="1" customWidth="1"/>
    <col min="8" max="8" width="24.28515625" bestFit="1" customWidth="1"/>
    <col min="9" max="9" width="19.140625" bestFit="1" customWidth="1"/>
    <col min="10" max="10" width="12.140625" bestFit="1" customWidth="1"/>
    <col min="11" max="11" width="24.28515625" bestFit="1" customWidth="1"/>
    <col min="12" max="12" width="26.140625" bestFit="1" customWidth="1"/>
    <col min="13" max="13" width="36" bestFit="1" customWidth="1"/>
    <col min="18" max="18" width="26.140625" bestFit="1" customWidth="1"/>
  </cols>
  <sheetData>
    <row r="4" spans="5:18" x14ac:dyDescent="0.25">
      <c r="E4" s="55" t="s">
        <v>72</v>
      </c>
      <c r="F4" s="57" t="s">
        <v>86</v>
      </c>
      <c r="I4" s="55" t="s">
        <v>87</v>
      </c>
    </row>
    <row r="5" spans="5:18" x14ac:dyDescent="0.25">
      <c r="E5" s="5" t="s">
        <v>54</v>
      </c>
      <c r="F5" s="58">
        <v>1344</v>
      </c>
      <c r="I5" s="5" t="s">
        <v>90</v>
      </c>
      <c r="J5" s="56">
        <v>25308.45</v>
      </c>
      <c r="L5" s="55" t="s">
        <v>72</v>
      </c>
      <c r="M5" s="57" t="s">
        <v>75</v>
      </c>
    </row>
    <row r="6" spans="5:18" x14ac:dyDescent="0.25">
      <c r="E6" s="5" t="s">
        <v>51</v>
      </c>
      <c r="F6" s="58">
        <v>1344</v>
      </c>
      <c r="I6" s="5" t="s">
        <v>88</v>
      </c>
      <c r="J6" s="56">
        <v>78.75</v>
      </c>
      <c r="L6" s="59">
        <v>45748</v>
      </c>
      <c r="M6" s="56">
        <v>336</v>
      </c>
      <c r="R6" s="55" t="s">
        <v>72</v>
      </c>
    </row>
    <row r="7" spans="5:18" x14ac:dyDescent="0.25">
      <c r="E7" s="5" t="s">
        <v>26</v>
      </c>
      <c r="F7" s="58">
        <v>1391.1999999999998</v>
      </c>
      <c r="I7" s="5" t="s">
        <v>89</v>
      </c>
      <c r="J7" s="56">
        <v>6512.7999999999993</v>
      </c>
      <c r="L7" s="59">
        <v>45749</v>
      </c>
      <c r="M7" s="56">
        <v>672</v>
      </c>
      <c r="R7" s="59">
        <v>45748</v>
      </c>
    </row>
    <row r="8" spans="5:18" x14ac:dyDescent="0.25">
      <c r="E8" s="5" t="s">
        <v>79</v>
      </c>
      <c r="F8" s="58">
        <v>10528</v>
      </c>
      <c r="L8" s="59">
        <v>45750</v>
      </c>
      <c r="M8" s="56">
        <v>588</v>
      </c>
      <c r="R8" s="59">
        <v>45749</v>
      </c>
    </row>
    <row r="9" spans="5:18" x14ac:dyDescent="0.25">
      <c r="E9" s="5" t="s">
        <v>58</v>
      </c>
      <c r="F9" s="58">
        <v>2656</v>
      </c>
      <c r="L9" s="59">
        <v>45751</v>
      </c>
      <c r="M9" s="56">
        <v>1188.6000000000001</v>
      </c>
      <c r="R9" s="59">
        <v>45750</v>
      </c>
    </row>
    <row r="10" spans="5:18" x14ac:dyDescent="0.25">
      <c r="E10" s="5" t="s">
        <v>52</v>
      </c>
      <c r="F10" s="58">
        <v>1700</v>
      </c>
      <c r="L10" s="59">
        <v>45752</v>
      </c>
      <c r="M10" s="56">
        <v>1260</v>
      </c>
      <c r="R10" s="59">
        <v>45751</v>
      </c>
    </row>
    <row r="11" spans="5:18" x14ac:dyDescent="0.25">
      <c r="E11" s="5" t="s">
        <v>50</v>
      </c>
      <c r="F11" s="58">
        <v>112.25</v>
      </c>
      <c r="L11" s="59">
        <v>45753</v>
      </c>
      <c r="M11" s="56">
        <v>252</v>
      </c>
      <c r="R11" s="59">
        <v>45752</v>
      </c>
    </row>
    <row r="12" spans="5:18" x14ac:dyDescent="0.25">
      <c r="E12" s="5" t="s">
        <v>27</v>
      </c>
      <c r="F12" s="58">
        <v>128</v>
      </c>
      <c r="L12" s="59">
        <v>45754</v>
      </c>
      <c r="M12" s="56">
        <v>280</v>
      </c>
      <c r="R12" s="59">
        <v>45753</v>
      </c>
    </row>
    <row r="13" spans="5:18" x14ac:dyDescent="0.25">
      <c r="E13" s="5" t="s">
        <v>53</v>
      </c>
      <c r="F13" s="58">
        <v>1261</v>
      </c>
      <c r="L13" s="59">
        <v>45755</v>
      </c>
      <c r="M13" s="56">
        <v>280</v>
      </c>
      <c r="R13" s="59">
        <v>45754</v>
      </c>
    </row>
    <row r="14" spans="5:18" x14ac:dyDescent="0.25">
      <c r="E14" s="5" t="s">
        <v>84</v>
      </c>
      <c r="F14" s="58">
        <v>5664</v>
      </c>
      <c r="L14" s="59">
        <v>45756</v>
      </c>
      <c r="M14" s="56">
        <v>280</v>
      </c>
      <c r="R14" s="59">
        <v>45755</v>
      </c>
    </row>
    <row r="15" spans="5:18" x14ac:dyDescent="0.25">
      <c r="E15" s="5" t="s">
        <v>74</v>
      </c>
      <c r="F15" s="58">
        <v>-840</v>
      </c>
      <c r="L15" s="59">
        <v>45757</v>
      </c>
      <c r="M15" s="56">
        <v>280</v>
      </c>
      <c r="R15" s="59">
        <v>45756</v>
      </c>
    </row>
    <row r="16" spans="5:18" x14ac:dyDescent="0.25">
      <c r="E16" s="5" t="s">
        <v>80</v>
      </c>
      <c r="F16" s="58">
        <v>20</v>
      </c>
      <c r="L16" s="59">
        <v>45758</v>
      </c>
      <c r="M16" s="56">
        <v>112</v>
      </c>
      <c r="R16" s="59">
        <v>45757</v>
      </c>
    </row>
    <row r="17" spans="5:18" x14ac:dyDescent="0.25">
      <c r="E17" s="5" t="s">
        <v>73</v>
      </c>
      <c r="F17" s="56">
        <v>25308.45</v>
      </c>
      <c r="L17" s="59">
        <v>45759</v>
      </c>
      <c r="M17" s="56">
        <v>84</v>
      </c>
      <c r="R17" s="59">
        <v>45758</v>
      </c>
    </row>
    <row r="18" spans="5:18" x14ac:dyDescent="0.25">
      <c r="L18" s="59">
        <v>45760</v>
      </c>
      <c r="M18" s="56">
        <v>172.20000000000002</v>
      </c>
      <c r="R18" s="59">
        <v>45759</v>
      </c>
    </row>
    <row r="19" spans="5:18" x14ac:dyDescent="0.25">
      <c r="L19" s="59">
        <v>45761</v>
      </c>
      <c r="M19" s="56">
        <v>168</v>
      </c>
      <c r="R19" s="59">
        <v>45760</v>
      </c>
    </row>
    <row r="20" spans="5:18" x14ac:dyDescent="0.25">
      <c r="L20" s="59">
        <v>45762</v>
      </c>
      <c r="M20" s="56">
        <v>56</v>
      </c>
      <c r="R20" s="59">
        <v>45761</v>
      </c>
    </row>
    <row r="21" spans="5:18" x14ac:dyDescent="0.25">
      <c r="L21" s="59">
        <v>45763</v>
      </c>
      <c r="M21" s="56">
        <v>84</v>
      </c>
      <c r="R21" s="59">
        <v>45762</v>
      </c>
    </row>
    <row r="22" spans="5:18" x14ac:dyDescent="0.25">
      <c r="L22" s="59">
        <v>45764</v>
      </c>
      <c r="M22" s="56">
        <v>168</v>
      </c>
      <c r="R22" s="59">
        <v>45763</v>
      </c>
    </row>
    <row r="23" spans="5:18" x14ac:dyDescent="0.25">
      <c r="L23" s="59">
        <v>45765</v>
      </c>
      <c r="M23" s="56">
        <v>168</v>
      </c>
      <c r="R23" s="59">
        <v>45764</v>
      </c>
    </row>
    <row r="24" spans="5:18" x14ac:dyDescent="0.25">
      <c r="L24" s="59">
        <v>45766</v>
      </c>
      <c r="M24" s="56">
        <v>84</v>
      </c>
      <c r="R24" s="59">
        <v>45765</v>
      </c>
    </row>
    <row r="25" spans="5:18" x14ac:dyDescent="0.25">
      <c r="L25" s="5" t="s">
        <v>73</v>
      </c>
      <c r="M25" s="56">
        <v>6512.8</v>
      </c>
      <c r="R25" s="59">
        <v>45766</v>
      </c>
    </row>
    <row r="26" spans="5:18" x14ac:dyDescent="0.25">
      <c r="R26" s="5" t="s">
        <v>73</v>
      </c>
    </row>
  </sheetData>
  <pageMargins left="0.511811024" right="0.511811024" top="0.78740157499999996" bottom="0.78740157499999996" header="0.31496062000000002" footer="0.31496062000000002"/>
  <drawing r:id="rId5"/>
  <extLst>
    <ext xmlns:x15="http://schemas.microsoft.com/office/spreadsheetml/2010/11/main" uri="{7E03D99C-DC04-49d9-9315-930204A7B6E9}">
      <x15:timelineRefs>
        <x15:timelineRef r:id="rId6"/>
      </x15:timelineRef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76C169-7385-434E-86C7-2BBCEB7CFF33}">
  <dimension ref="B2:P32"/>
  <sheetViews>
    <sheetView topLeftCell="A14" zoomScale="85" zoomScaleNormal="175" workbookViewId="0">
      <selection activeCell="G37" sqref="G37"/>
    </sheetView>
  </sheetViews>
  <sheetFormatPr defaultRowHeight="15" x14ac:dyDescent="0.25"/>
  <cols>
    <col min="2" max="2" width="18" bestFit="1" customWidth="1"/>
    <col min="3" max="3" width="13.140625" bestFit="1" customWidth="1"/>
    <col min="5" max="5" width="18" bestFit="1" customWidth="1"/>
    <col min="6" max="6" width="18.42578125" bestFit="1" customWidth="1"/>
    <col min="7" max="7" width="24.28515625" bestFit="1" customWidth="1"/>
    <col min="9" max="9" width="18" bestFit="1" customWidth="1"/>
    <col min="10" max="10" width="13.140625" bestFit="1" customWidth="1"/>
    <col min="12" max="12" width="18" bestFit="1" customWidth="1"/>
    <col min="13" max="13" width="8.7109375" bestFit="1" customWidth="1"/>
    <col min="15" max="15" width="18" bestFit="1" customWidth="1"/>
    <col min="16" max="16" width="24.28515625" bestFit="1" customWidth="1"/>
  </cols>
  <sheetData>
    <row r="2" spans="2:16" x14ac:dyDescent="0.25">
      <c r="B2" s="55" t="s">
        <v>72</v>
      </c>
      <c r="C2" t="s">
        <v>97</v>
      </c>
      <c r="E2" s="55" t="s">
        <v>72</v>
      </c>
      <c r="F2" t="s">
        <v>100</v>
      </c>
      <c r="G2" t="s">
        <v>75</v>
      </c>
      <c r="I2" s="55" t="s">
        <v>72</v>
      </c>
      <c r="J2" t="s">
        <v>97</v>
      </c>
      <c r="L2" s="55" t="s">
        <v>87</v>
      </c>
      <c r="O2" s="55" t="s">
        <v>72</v>
      </c>
      <c r="P2" t="s">
        <v>75</v>
      </c>
    </row>
    <row r="3" spans="2:16" x14ac:dyDescent="0.25">
      <c r="B3" s="5" t="s">
        <v>58</v>
      </c>
      <c r="C3" s="60">
        <v>6180</v>
      </c>
      <c r="E3" s="5" t="s">
        <v>98</v>
      </c>
      <c r="F3" s="56">
        <v>83.25</v>
      </c>
      <c r="G3" s="60">
        <v>336</v>
      </c>
      <c r="I3" s="5" t="s">
        <v>98</v>
      </c>
      <c r="J3" s="60">
        <v>1260</v>
      </c>
      <c r="L3" s="5" t="s">
        <v>88</v>
      </c>
      <c r="M3" s="60">
        <v>747</v>
      </c>
      <c r="O3" s="5" t="s">
        <v>98</v>
      </c>
      <c r="P3" s="60">
        <v>336</v>
      </c>
    </row>
    <row r="4" spans="2:16" x14ac:dyDescent="0.25">
      <c r="B4" s="5" t="s">
        <v>26</v>
      </c>
      <c r="C4" s="60">
        <v>7155</v>
      </c>
      <c r="E4" s="5" t="s">
        <v>99</v>
      </c>
      <c r="F4" s="56">
        <v>78.75</v>
      </c>
      <c r="G4" s="60">
        <v>6512.8</v>
      </c>
      <c r="I4" s="5" t="s">
        <v>99</v>
      </c>
      <c r="J4" s="60">
        <v>31900</v>
      </c>
      <c r="L4" s="5" t="s">
        <v>89</v>
      </c>
      <c r="M4" s="60">
        <v>21618.799999999999</v>
      </c>
      <c r="O4" s="5" t="s">
        <v>99</v>
      </c>
      <c r="P4" s="60">
        <v>6512.8</v>
      </c>
    </row>
    <row r="5" spans="2:16" x14ac:dyDescent="0.25">
      <c r="B5" s="5" t="s">
        <v>52</v>
      </c>
      <c r="C5" s="60">
        <v>7286</v>
      </c>
      <c r="E5" s="5" t="s">
        <v>104</v>
      </c>
      <c r="F5" s="56">
        <v>40.5</v>
      </c>
      <c r="G5" s="60">
        <v>2072</v>
      </c>
      <c r="I5" s="5" t="s">
        <v>104</v>
      </c>
      <c r="J5" s="60">
        <v>4290</v>
      </c>
      <c r="L5" s="5" t="s">
        <v>90</v>
      </c>
      <c r="M5" s="60">
        <v>48522.2</v>
      </c>
      <c r="O5" s="5" t="s">
        <v>104</v>
      </c>
      <c r="P5" s="60">
        <v>2072</v>
      </c>
    </row>
    <row r="6" spans="2:16" x14ac:dyDescent="0.25">
      <c r="B6" s="5" t="s">
        <v>84</v>
      </c>
      <c r="C6" s="60">
        <v>8035</v>
      </c>
      <c r="E6" s="5" t="s">
        <v>101</v>
      </c>
      <c r="F6" s="56">
        <v>160.5</v>
      </c>
      <c r="G6" s="60">
        <v>2086</v>
      </c>
      <c r="I6" s="5" t="s">
        <v>101</v>
      </c>
      <c r="J6" s="60">
        <v>6050</v>
      </c>
      <c r="O6" s="5" t="s">
        <v>101</v>
      </c>
      <c r="P6" s="60">
        <v>2086</v>
      </c>
    </row>
    <row r="7" spans="2:16" x14ac:dyDescent="0.25">
      <c r="B7" s="5" t="s">
        <v>79</v>
      </c>
      <c r="C7" s="60">
        <v>15162</v>
      </c>
      <c r="E7" s="5" t="s">
        <v>105</v>
      </c>
      <c r="F7" s="56">
        <v>120</v>
      </c>
      <c r="G7" s="60">
        <v>3052</v>
      </c>
      <c r="I7" s="5" t="s">
        <v>105</v>
      </c>
      <c r="J7" s="60">
        <v>7812</v>
      </c>
      <c r="O7" s="5" t="s">
        <v>105</v>
      </c>
      <c r="P7" s="60">
        <v>3052</v>
      </c>
    </row>
    <row r="8" spans="2:16" x14ac:dyDescent="0.25">
      <c r="B8" s="5" t="s">
        <v>73</v>
      </c>
      <c r="C8" s="60">
        <v>43818</v>
      </c>
      <c r="E8" s="5" t="s">
        <v>106</v>
      </c>
      <c r="F8" s="56">
        <v>264</v>
      </c>
      <c r="G8" s="60">
        <v>2072</v>
      </c>
      <c r="I8" s="5" t="s">
        <v>106</v>
      </c>
      <c r="J8" s="60">
        <v>6079</v>
      </c>
      <c r="O8" s="5" t="s">
        <v>106</v>
      </c>
      <c r="P8" s="60">
        <v>2072</v>
      </c>
    </row>
    <row r="9" spans="2:16" x14ac:dyDescent="0.25">
      <c r="E9" s="5" t="s">
        <v>107</v>
      </c>
      <c r="F9" s="56">
        <v>0</v>
      </c>
      <c r="G9" s="60">
        <v>2688</v>
      </c>
      <c r="I9" s="5" t="s">
        <v>107</v>
      </c>
      <c r="J9" s="60">
        <v>9000</v>
      </c>
      <c r="O9" s="5" t="s">
        <v>107</v>
      </c>
      <c r="P9" s="60">
        <v>2688</v>
      </c>
    </row>
    <row r="10" spans="2:16" x14ac:dyDescent="0.25">
      <c r="E10" s="5" t="s">
        <v>108</v>
      </c>
      <c r="F10" s="56">
        <v>0</v>
      </c>
      <c r="G10" s="60">
        <v>2800</v>
      </c>
      <c r="I10" s="5" t="s">
        <v>108</v>
      </c>
      <c r="J10" s="60">
        <v>4497</v>
      </c>
      <c r="O10" s="5" t="s">
        <v>108</v>
      </c>
      <c r="P10" s="60">
        <v>2800</v>
      </c>
    </row>
    <row r="11" spans="2:16" x14ac:dyDescent="0.25">
      <c r="E11" s="5" t="s">
        <v>73</v>
      </c>
      <c r="F11" s="56">
        <v>747</v>
      </c>
      <c r="G11" s="60">
        <v>21618.799999999999</v>
      </c>
      <c r="I11" s="5" t="s">
        <v>73</v>
      </c>
      <c r="J11" s="60">
        <v>70888</v>
      </c>
      <c r="O11" s="5" t="s">
        <v>73</v>
      </c>
      <c r="P11" s="60">
        <v>21618.799999999999</v>
      </c>
    </row>
    <row r="23" spans="2:9" x14ac:dyDescent="0.25">
      <c r="I23" t="s">
        <v>103</v>
      </c>
    </row>
    <row r="32" spans="2:9" x14ac:dyDescent="0.25">
      <c r="B32" t="s">
        <v>102</v>
      </c>
    </row>
  </sheetData>
  <pageMargins left="0.511811024" right="0.511811024" top="0.78740157499999996" bottom="0.78740157499999996" header="0.31496062000000002" footer="0.31496062000000002"/>
  <drawing r:id="rId6"/>
  <extLst>
    <ext xmlns:x15="http://schemas.microsoft.com/office/spreadsheetml/2010/11/main" uri="{7E03D99C-DC04-49d9-9315-930204A7B6E9}">
      <x15:timelineRefs>
        <x15:timelineRef r:id="rId7"/>
      </x15:timelineRef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22193B-DA73-41F2-875B-760F50ED2ED6}">
  <sheetPr codeName="Planilha6">
    <tabColor theme="0"/>
  </sheetPr>
  <dimension ref="A3:O28"/>
  <sheetViews>
    <sheetView workbookViewId="0">
      <selection activeCell="H22" sqref="H22"/>
    </sheetView>
  </sheetViews>
  <sheetFormatPr defaultRowHeight="15" x14ac:dyDescent="0.25"/>
  <cols>
    <col min="3" max="3" width="17.28515625" bestFit="1" customWidth="1"/>
    <col min="5" max="5" width="13.7109375" customWidth="1"/>
    <col min="7" max="7" width="12.7109375" bestFit="1" customWidth="1"/>
    <col min="9" max="9" width="15.42578125" bestFit="1" customWidth="1"/>
    <col min="11" max="11" width="15.42578125" bestFit="1" customWidth="1"/>
    <col min="15" max="15" width="11" bestFit="1" customWidth="1"/>
  </cols>
  <sheetData>
    <row r="3" spans="1:15" x14ac:dyDescent="0.25">
      <c r="E3" s="2" t="s">
        <v>42</v>
      </c>
      <c r="G3" s="12" t="s">
        <v>17</v>
      </c>
      <c r="I3" s="7" t="s">
        <v>21</v>
      </c>
      <c r="K3" s="7" t="s">
        <v>21</v>
      </c>
      <c r="M3" s="50" t="s">
        <v>62</v>
      </c>
      <c r="O3" s="8" t="s">
        <v>36</v>
      </c>
    </row>
    <row r="4" spans="1:15" x14ac:dyDescent="0.25">
      <c r="A4" t="s">
        <v>66</v>
      </c>
      <c r="C4" s="36" t="s">
        <v>60</v>
      </c>
      <c r="E4" s="10">
        <v>1</v>
      </c>
      <c r="G4" s="9" t="s">
        <v>18</v>
      </c>
      <c r="I4" s="10" t="s">
        <v>16</v>
      </c>
      <c r="K4" s="10" t="s">
        <v>8</v>
      </c>
      <c r="M4" s="51" t="s">
        <v>40</v>
      </c>
      <c r="O4" s="11" t="s">
        <v>37</v>
      </c>
    </row>
    <row r="5" spans="1:15" x14ac:dyDescent="0.25">
      <c r="A5" s="39" t="s">
        <v>38</v>
      </c>
      <c r="C5" s="1">
        <v>1</v>
      </c>
      <c r="E5" s="10">
        <v>2</v>
      </c>
      <c r="G5" s="9" t="s">
        <v>19</v>
      </c>
      <c r="I5" s="10" t="s">
        <v>44</v>
      </c>
      <c r="K5" s="10" t="s">
        <v>61</v>
      </c>
      <c r="M5" s="51" t="s">
        <v>41</v>
      </c>
      <c r="O5" s="11" t="s">
        <v>38</v>
      </c>
    </row>
    <row r="6" spans="1:15" x14ac:dyDescent="0.25">
      <c r="A6" s="32" t="s">
        <v>37</v>
      </c>
      <c r="C6" s="1">
        <v>2</v>
      </c>
      <c r="E6" s="10">
        <v>3</v>
      </c>
      <c r="G6" s="9" t="s">
        <v>20</v>
      </c>
      <c r="K6" s="1"/>
      <c r="O6" s="5"/>
    </row>
    <row r="7" spans="1:15" x14ac:dyDescent="0.25">
      <c r="C7" s="1">
        <v>3</v>
      </c>
      <c r="E7" s="10">
        <v>4</v>
      </c>
      <c r="G7" s="9" t="s">
        <v>43</v>
      </c>
      <c r="K7" s="1"/>
      <c r="O7" s="5"/>
    </row>
    <row r="8" spans="1:15" x14ac:dyDescent="0.25">
      <c r="C8" s="1">
        <v>4</v>
      </c>
      <c r="E8" s="10">
        <v>5</v>
      </c>
      <c r="K8" s="1"/>
      <c r="O8" s="5"/>
    </row>
    <row r="9" spans="1:15" x14ac:dyDescent="0.25">
      <c r="C9" s="1">
        <v>5</v>
      </c>
      <c r="E9" s="10">
        <v>6</v>
      </c>
      <c r="K9" s="1"/>
    </row>
    <row r="10" spans="1:15" x14ac:dyDescent="0.25">
      <c r="E10" s="10">
        <v>7</v>
      </c>
      <c r="K10" s="1"/>
    </row>
    <row r="11" spans="1:15" x14ac:dyDescent="0.25">
      <c r="E11" s="10">
        <v>8</v>
      </c>
      <c r="K11" s="1"/>
    </row>
    <row r="12" spans="1:15" x14ac:dyDescent="0.25">
      <c r="E12" s="10">
        <v>9</v>
      </c>
    </row>
    <row r="13" spans="1:15" x14ac:dyDescent="0.25">
      <c r="E13" s="10">
        <v>10</v>
      </c>
    </row>
    <row r="19" spans="1:1" x14ac:dyDescent="0.25">
      <c r="A19" t="s">
        <v>91</v>
      </c>
    </row>
    <row r="20" spans="1:1" x14ac:dyDescent="0.25">
      <c r="A20" t="s">
        <v>92</v>
      </c>
    </row>
    <row r="23" spans="1:1" x14ac:dyDescent="0.25">
      <c r="A23" t="s">
        <v>93</v>
      </c>
    </row>
    <row r="24" spans="1:1" x14ac:dyDescent="0.25">
      <c r="A24" t="s">
        <v>94</v>
      </c>
    </row>
    <row r="25" spans="1:1" x14ac:dyDescent="0.25">
      <c r="A25" t="s">
        <v>95</v>
      </c>
    </row>
    <row r="28" spans="1:1" x14ac:dyDescent="0.25">
      <c r="A28" t="s">
        <v>96</v>
      </c>
    </row>
  </sheetData>
  <conditionalFormatting sqref="A6">
    <cfRule type="containsText" dxfId="1" priority="1" operator="containsText" text="Pendente">
      <formula>NOT(ISERROR(SEARCH("Pendente",A6)))</formula>
    </cfRule>
    <cfRule type="containsText" dxfId="0" priority="2" operator="containsText" text="Pago">
      <formula>NOT(ISERROR(SEARCH("Pago",A6)))</formula>
    </cfRule>
  </conditionalFormatting>
  <dataValidations count="1">
    <dataValidation type="list" allowBlank="1" showInputMessage="1" showErrorMessage="1" sqref="A6" xr:uid="{F1073052-FB15-4A07-8701-B5F30D0CF0DD}">
      <formula1>$O$4:$O$5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3B1ED2-651C-4E1A-8E9A-A15AD9956E25}">
  <sheetPr codeName="Planilha7"/>
  <dimension ref="E1"/>
  <sheetViews>
    <sheetView workbookViewId="0">
      <selection activeCell="B3" sqref="B3"/>
    </sheetView>
  </sheetViews>
  <sheetFormatPr defaultRowHeight="15" x14ac:dyDescent="0.25"/>
  <cols>
    <col min="5" max="5" width="39.5703125" bestFit="1" customWidth="1"/>
  </cols>
  <sheetData>
    <row r="1" spans="5:5" x14ac:dyDescent="0.25">
      <c r="E1" t="s">
        <v>35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Consolidado_Dash</vt:lpstr>
      <vt:lpstr>Semanal</vt:lpstr>
      <vt:lpstr>Anual</vt:lpstr>
      <vt:lpstr>Base_Cliente_Full</vt:lpstr>
      <vt:lpstr>Consolidado-Rascunho</vt:lpstr>
      <vt:lpstr>Consolidado_do_Dash</vt:lpstr>
      <vt:lpstr>Apoio</vt:lpstr>
      <vt:lpstr>Planilha2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Monteiro De Oliveira, Elvis</dc:creator>
  <cp:lastModifiedBy>Monteiro De Oliveira, Elvis</cp:lastModifiedBy>
  <dcterms:created xsi:type="dcterms:W3CDTF">2015-06-05T18:19:34Z</dcterms:created>
  <dcterms:modified xsi:type="dcterms:W3CDTF">2025-04-09T11:55:13Z</dcterms:modified>
</cp:coreProperties>
</file>